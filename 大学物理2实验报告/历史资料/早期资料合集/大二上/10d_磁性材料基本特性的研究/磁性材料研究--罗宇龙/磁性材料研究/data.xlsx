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5" i="2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"/>
  <c r="C3"/>
  <c r="C2" i="1"/>
  <c r="D2"/>
  <c r="C3"/>
  <c r="D3"/>
  <c r="C4"/>
  <c r="D4"/>
  <c r="C5"/>
  <c r="D5"/>
  <c r="C6"/>
  <c r="D6"/>
  <c r="C7"/>
  <c r="D7"/>
  <c r="C8"/>
  <c r="D8"/>
  <c r="C9"/>
  <c r="D9"/>
  <c r="C10"/>
  <c r="D10"/>
  <c r="C11"/>
  <c r="D11"/>
  <c r="C12"/>
  <c r="D12"/>
  <c r="C13"/>
  <c r="D13"/>
  <c r="C14"/>
  <c r="D14"/>
  <c r="C15"/>
  <c r="D15"/>
  <c r="C16"/>
  <c r="D16"/>
  <c r="C17"/>
  <c r="D17"/>
  <c r="C18"/>
  <c r="D18"/>
  <c r="C19"/>
  <c r="D19"/>
  <c r="C20"/>
  <c r="D20"/>
  <c r="C21"/>
  <c r="D21"/>
  <c r="C22"/>
  <c r="D22"/>
  <c r="C23"/>
  <c r="D23"/>
  <c r="C24"/>
  <c r="D24"/>
  <c r="C25"/>
  <c r="D25"/>
  <c r="C26"/>
  <c r="D26"/>
  <c r="C27"/>
  <c r="D27"/>
  <c r="C28"/>
  <c r="D28"/>
  <c r="F10"/>
  <c r="F11"/>
  <c r="F12"/>
  <c r="F13"/>
  <c r="F14"/>
  <c r="F15"/>
  <c r="F16"/>
  <c r="F17"/>
  <c r="F18"/>
  <c r="F19"/>
  <c r="F20"/>
  <c r="F21"/>
  <c r="F9"/>
  <c r="H9"/>
  <c r="H10"/>
  <c r="H11"/>
  <c r="H12"/>
  <c r="H13"/>
  <c r="H14"/>
  <c r="H15"/>
  <c r="H16"/>
  <c r="H17"/>
  <c r="H18"/>
  <c r="H19"/>
  <c r="H20"/>
  <c r="H21"/>
  <c r="G16"/>
  <c r="E3"/>
  <c r="G3" s="1"/>
  <c r="E4"/>
  <c r="G4" s="1"/>
  <c r="E5"/>
  <c r="G5" s="1"/>
  <c r="E6"/>
  <c r="G6" s="1"/>
  <c r="E7"/>
  <c r="G7" s="1"/>
  <c r="E8"/>
  <c r="G8" s="1"/>
  <c r="E9"/>
  <c r="G9" s="1"/>
  <c r="E10"/>
  <c r="G10" s="1"/>
  <c r="E11"/>
  <c r="G11" s="1"/>
  <c r="E12"/>
  <c r="G12" s="1"/>
  <c r="E13"/>
  <c r="G13" s="1"/>
  <c r="E14"/>
  <c r="G14" s="1"/>
  <c r="E15"/>
  <c r="G15" s="1"/>
  <c r="E17"/>
  <c r="G17" s="1"/>
  <c r="E18"/>
  <c r="G18" s="1"/>
  <c r="E19"/>
  <c r="G19" s="1"/>
  <c r="E20"/>
  <c r="G20" s="1"/>
  <c r="E21"/>
  <c r="G21" s="1"/>
  <c r="E22"/>
  <c r="G22" s="1"/>
  <c r="E23"/>
  <c r="G23" s="1"/>
  <c r="E24"/>
  <c r="G24" s="1"/>
  <c r="E25"/>
  <c r="G25" s="1"/>
  <c r="E26"/>
  <c r="G26" s="1"/>
  <c r="E27"/>
  <c r="G27" s="1"/>
  <c r="E28"/>
  <c r="G28" s="1"/>
  <c r="E2"/>
  <c r="G2" s="1"/>
  <c r="F3"/>
  <c r="H3" s="1"/>
  <c r="F4"/>
  <c r="H4" s="1"/>
  <c r="F5"/>
  <c r="H5" s="1"/>
  <c r="F6"/>
  <c r="H6" s="1"/>
  <c r="F7"/>
  <c r="H7" s="1"/>
  <c r="F8"/>
  <c r="H8" s="1"/>
  <c r="F22"/>
  <c r="H22" s="1"/>
  <c r="F23"/>
  <c r="H23" s="1"/>
  <c r="F24"/>
  <c r="H24" s="1"/>
  <c r="F25"/>
  <c r="H25" s="1"/>
  <c r="F26"/>
  <c r="H26" s="1"/>
  <c r="F27"/>
  <c r="H27" s="1"/>
  <c r="F28"/>
  <c r="H28" s="1"/>
  <c r="F2"/>
  <c r="H2" s="1"/>
</calcChain>
</file>

<file path=xl/sharedStrings.xml><?xml version="1.0" encoding="utf-8"?>
<sst xmlns="http://schemas.openxmlformats.org/spreadsheetml/2006/main" count="10" uniqueCount="6">
  <si>
    <t>Ur1/mV</t>
    <phoneticPr fontId="1" type="noConversion"/>
  </si>
  <si>
    <t>Uc/mV</t>
    <phoneticPr fontId="1" type="noConversion"/>
  </si>
  <si>
    <t>H/mT</t>
    <phoneticPr fontId="1" type="noConversion"/>
  </si>
  <si>
    <t>B/mT</t>
    <phoneticPr fontId="1" type="noConversion"/>
  </si>
  <si>
    <t>T</t>
    <phoneticPr fontId="1" type="noConversion"/>
  </si>
  <si>
    <t>V/mV</t>
    <phoneticPr fontId="1" type="noConversion"/>
  </si>
</sst>
</file>

<file path=xl/styles.xml><?xml version="1.0" encoding="utf-8"?>
<styleSheet xmlns="http://schemas.openxmlformats.org/spreadsheetml/2006/main">
  <numFmts count="3">
    <numFmt numFmtId="177" formatCode="0.00_ "/>
    <numFmt numFmtId="178" formatCode="0.000_ "/>
    <numFmt numFmtId="180" formatCode="0_ "/>
  </numFmts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selection activeCell="I28" sqref="I28"/>
    </sheetView>
  </sheetViews>
  <sheetFormatPr defaultRowHeight="13.5"/>
  <cols>
    <col min="5" max="6" width="10.5" bestFit="1" customWidth="1"/>
    <col min="7" max="7" width="9.5" bestFit="1" customWidth="1"/>
    <col min="8" max="8" width="9.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>
      <c r="A2">
        <v>-304</v>
      </c>
      <c r="B2">
        <v>-248</v>
      </c>
      <c r="C2">
        <f>(A2-53)*110/10/3.61/100</f>
        <v>-10.878116343490305</v>
      </c>
      <c r="D2">
        <f>(B2+17)*512*4.7/100/1.25/10/1000</f>
        <v>-0.44470272000000005</v>
      </c>
      <c r="E2" s="3">
        <f>A2-53</f>
        <v>-357</v>
      </c>
      <c r="F2" s="3">
        <f>B2+17</f>
        <v>-231</v>
      </c>
      <c r="G2" s="2">
        <f>E2*110/10/3.61/100</f>
        <v>-10.878116343490305</v>
      </c>
      <c r="H2" s="2">
        <f>F2*512*4.7/100/1.25/10/1000</f>
        <v>-0.44470272000000005</v>
      </c>
    </row>
    <row r="3" spans="1:8">
      <c r="A3">
        <v>-244</v>
      </c>
      <c r="B3">
        <v>-238</v>
      </c>
      <c r="C3">
        <f t="shared" ref="C3:C28" si="0">(A3-53)*110/10/3.61/100</f>
        <v>-9.0498614958448744</v>
      </c>
      <c r="D3">
        <f t="shared" ref="D3:D28" si="1">(B3+17)*512*4.7/100/1.25/10/1000</f>
        <v>-0.42545151999999997</v>
      </c>
      <c r="E3" s="3">
        <f t="shared" ref="E3:E28" si="2">A3-53</f>
        <v>-297</v>
      </c>
      <c r="F3" s="3">
        <f t="shared" ref="F3:F28" si="3">B3+17</f>
        <v>-221</v>
      </c>
      <c r="G3" s="2">
        <f t="shared" ref="G3:G28" si="4">E3*110/10/3.61/100</f>
        <v>-9.0498614958448744</v>
      </c>
      <c r="H3" s="2">
        <f t="shared" ref="H3:H28" si="5">F3*512*4.7/100/1.25/10/1000</f>
        <v>-0.42545151999999997</v>
      </c>
    </row>
    <row r="4" spans="1:8">
      <c r="A4">
        <v>-204</v>
      </c>
      <c r="B4">
        <v>-228</v>
      </c>
      <c r="C4">
        <f t="shared" si="0"/>
        <v>-7.8310249307479225</v>
      </c>
      <c r="D4">
        <f t="shared" si="1"/>
        <v>-0.40620032000000006</v>
      </c>
      <c r="E4" s="3">
        <f t="shared" si="2"/>
        <v>-257</v>
      </c>
      <c r="F4" s="3">
        <f t="shared" si="3"/>
        <v>-211</v>
      </c>
      <c r="G4" s="2">
        <f t="shared" si="4"/>
        <v>-7.8310249307479225</v>
      </c>
      <c r="H4" s="2">
        <f t="shared" si="5"/>
        <v>-0.40620032000000006</v>
      </c>
    </row>
    <row r="5" spans="1:8">
      <c r="A5">
        <v>-161</v>
      </c>
      <c r="B5">
        <v>-205</v>
      </c>
      <c r="C5">
        <f t="shared" si="0"/>
        <v>-6.5207756232686984</v>
      </c>
      <c r="D5">
        <f t="shared" si="1"/>
        <v>-0.36192256000000006</v>
      </c>
      <c r="E5" s="3">
        <f t="shared" si="2"/>
        <v>-214</v>
      </c>
      <c r="F5" s="3">
        <f t="shared" si="3"/>
        <v>-188</v>
      </c>
      <c r="G5" s="2">
        <f t="shared" si="4"/>
        <v>-6.5207756232686984</v>
      </c>
      <c r="H5" s="2">
        <f t="shared" si="5"/>
        <v>-0.36192256000000006</v>
      </c>
    </row>
    <row r="6" spans="1:8">
      <c r="A6">
        <v>-150</v>
      </c>
      <c r="B6">
        <v>-196</v>
      </c>
      <c r="C6">
        <f t="shared" si="0"/>
        <v>-6.1855955678670362</v>
      </c>
      <c r="D6">
        <f t="shared" si="1"/>
        <v>-0.34459648000000004</v>
      </c>
      <c r="E6" s="3">
        <f t="shared" si="2"/>
        <v>-203</v>
      </c>
      <c r="F6" s="3">
        <f t="shared" si="3"/>
        <v>-179</v>
      </c>
      <c r="G6" s="2">
        <f t="shared" si="4"/>
        <v>-6.1855955678670362</v>
      </c>
      <c r="H6" s="2">
        <f t="shared" si="5"/>
        <v>-0.34459648000000004</v>
      </c>
    </row>
    <row r="7" spans="1:8">
      <c r="A7">
        <v>-138</v>
      </c>
      <c r="B7">
        <v>-174</v>
      </c>
      <c r="C7">
        <f t="shared" si="0"/>
        <v>-5.8199445983379512</v>
      </c>
      <c r="D7">
        <f t="shared" si="1"/>
        <v>-0.30224383999999999</v>
      </c>
      <c r="E7" s="3">
        <f t="shared" si="2"/>
        <v>-191</v>
      </c>
      <c r="F7" s="3">
        <f t="shared" si="3"/>
        <v>-157</v>
      </c>
      <c r="G7" s="2">
        <f t="shared" si="4"/>
        <v>-5.8199445983379512</v>
      </c>
      <c r="H7" s="2">
        <f t="shared" si="5"/>
        <v>-0.30224383999999999</v>
      </c>
    </row>
    <row r="8" spans="1:8">
      <c r="A8">
        <v>-125</v>
      </c>
      <c r="B8">
        <v>-42</v>
      </c>
      <c r="C8">
        <f t="shared" si="0"/>
        <v>-5.4238227146814406</v>
      </c>
      <c r="D8">
        <f t="shared" si="1"/>
        <v>-4.8127999999999997E-2</v>
      </c>
      <c r="E8" s="3">
        <f t="shared" si="2"/>
        <v>-178</v>
      </c>
      <c r="F8" s="3">
        <f t="shared" si="3"/>
        <v>-25</v>
      </c>
      <c r="G8" s="2">
        <f t="shared" si="4"/>
        <v>-5.4238227146814406</v>
      </c>
      <c r="H8" s="2">
        <f t="shared" si="5"/>
        <v>-4.8127999999999997E-2</v>
      </c>
    </row>
    <row r="9" spans="1:8">
      <c r="A9">
        <v>-119</v>
      </c>
      <c r="B9">
        <v>0</v>
      </c>
      <c r="C9">
        <f t="shared" si="0"/>
        <v>-5.2409972299168972</v>
      </c>
      <c r="D9">
        <f t="shared" si="1"/>
        <v>3.2727039999999999E-2</v>
      </c>
      <c r="E9" s="3">
        <f t="shared" si="2"/>
        <v>-172</v>
      </c>
      <c r="F9" s="3">
        <f>B9</f>
        <v>0</v>
      </c>
      <c r="G9" s="2">
        <f t="shared" si="4"/>
        <v>-5.2409972299168972</v>
      </c>
      <c r="H9" s="2">
        <f t="shared" si="5"/>
        <v>0</v>
      </c>
    </row>
    <row r="10" spans="1:8">
      <c r="A10">
        <v>-99</v>
      </c>
      <c r="B10">
        <v>52</v>
      </c>
      <c r="C10">
        <f t="shared" si="0"/>
        <v>-4.6315789473684212</v>
      </c>
      <c r="D10">
        <f t="shared" si="1"/>
        <v>0.13283328</v>
      </c>
      <c r="E10" s="3">
        <f t="shared" si="2"/>
        <v>-152</v>
      </c>
      <c r="F10" s="3">
        <f t="shared" ref="F10:F21" si="6">B10</f>
        <v>52</v>
      </c>
      <c r="G10" s="2">
        <f t="shared" si="4"/>
        <v>-4.6315789473684212</v>
      </c>
      <c r="H10" s="2">
        <f t="shared" si="5"/>
        <v>0.10010624</v>
      </c>
    </row>
    <row r="11" spans="1:8">
      <c r="A11">
        <v>-72</v>
      </c>
      <c r="B11">
        <v>102</v>
      </c>
      <c r="C11">
        <f t="shared" si="0"/>
        <v>-3.8088642659279781</v>
      </c>
      <c r="D11">
        <f t="shared" si="1"/>
        <v>0.22908928000000006</v>
      </c>
      <c r="E11" s="3">
        <f t="shared" si="2"/>
        <v>-125</v>
      </c>
      <c r="F11" s="3">
        <f t="shared" si="6"/>
        <v>102</v>
      </c>
      <c r="G11" s="2">
        <f t="shared" si="4"/>
        <v>-3.8088642659279781</v>
      </c>
      <c r="H11" s="2">
        <f t="shared" si="5"/>
        <v>0.19636224000000002</v>
      </c>
    </row>
    <row r="12" spans="1:8">
      <c r="A12">
        <v>-39</v>
      </c>
      <c r="B12">
        <v>140</v>
      </c>
      <c r="C12">
        <f t="shared" si="0"/>
        <v>-2.8033240997229916</v>
      </c>
      <c r="D12">
        <f t="shared" si="1"/>
        <v>0.30224383999999999</v>
      </c>
      <c r="E12" s="3">
        <f t="shared" si="2"/>
        <v>-92</v>
      </c>
      <c r="F12" s="3">
        <f t="shared" si="6"/>
        <v>140</v>
      </c>
      <c r="G12" s="2">
        <f t="shared" si="4"/>
        <v>-2.8033240997229916</v>
      </c>
      <c r="H12" s="2">
        <f t="shared" si="5"/>
        <v>0.2695168</v>
      </c>
    </row>
    <row r="13" spans="1:8">
      <c r="A13">
        <v>0</v>
      </c>
      <c r="B13">
        <v>170</v>
      </c>
      <c r="C13">
        <f t="shared" si="0"/>
        <v>-1.6149584487534627</v>
      </c>
      <c r="D13">
        <f t="shared" si="1"/>
        <v>0.35999744</v>
      </c>
      <c r="E13" s="3">
        <f t="shared" si="2"/>
        <v>-53</v>
      </c>
      <c r="F13" s="3">
        <f t="shared" si="6"/>
        <v>170</v>
      </c>
      <c r="G13" s="2">
        <f t="shared" si="4"/>
        <v>-1.6149584487534627</v>
      </c>
      <c r="H13" s="2">
        <f t="shared" si="5"/>
        <v>0.32727040000000002</v>
      </c>
    </row>
    <row r="14" spans="1:8">
      <c r="A14">
        <v>69</v>
      </c>
      <c r="B14">
        <v>203</v>
      </c>
      <c r="C14">
        <f t="shared" si="0"/>
        <v>0.48753462603878117</v>
      </c>
      <c r="D14">
        <f t="shared" si="1"/>
        <v>0.42352640000000003</v>
      </c>
      <c r="E14" s="3">
        <f t="shared" si="2"/>
        <v>16</v>
      </c>
      <c r="F14" s="3">
        <f t="shared" si="6"/>
        <v>203</v>
      </c>
      <c r="G14" s="2">
        <f t="shared" si="4"/>
        <v>0.48753462603878117</v>
      </c>
      <c r="H14" s="2">
        <f t="shared" si="5"/>
        <v>0.39079936000000004</v>
      </c>
    </row>
    <row r="15" spans="1:8">
      <c r="A15">
        <v>204</v>
      </c>
      <c r="B15">
        <v>234</v>
      </c>
      <c r="C15">
        <f t="shared" si="0"/>
        <v>4.6011080332409975</v>
      </c>
      <c r="D15">
        <f t="shared" si="1"/>
        <v>0.48320511999999999</v>
      </c>
      <c r="E15" s="3">
        <f t="shared" si="2"/>
        <v>151</v>
      </c>
      <c r="F15" s="3">
        <f t="shared" si="6"/>
        <v>234</v>
      </c>
      <c r="G15" s="2">
        <f t="shared" si="4"/>
        <v>4.6011080332409975</v>
      </c>
      <c r="H15" s="2">
        <f t="shared" si="5"/>
        <v>0.45047808</v>
      </c>
    </row>
    <row r="16" spans="1:8">
      <c r="A16">
        <v>304</v>
      </c>
      <c r="B16">
        <v>248</v>
      </c>
      <c r="C16">
        <f t="shared" si="0"/>
        <v>7.64819944598338</v>
      </c>
      <c r="D16">
        <f t="shared" si="1"/>
        <v>0.51015680000000008</v>
      </c>
      <c r="E16" s="3">
        <v>357</v>
      </c>
      <c r="F16" s="3">
        <f t="shared" si="6"/>
        <v>248</v>
      </c>
      <c r="G16" s="2">
        <f t="shared" si="4"/>
        <v>10.878116343490305</v>
      </c>
      <c r="H16" s="2">
        <f t="shared" si="5"/>
        <v>0.47742975999999998</v>
      </c>
    </row>
    <row r="17" spans="1:8">
      <c r="A17">
        <v>260</v>
      </c>
      <c r="B17">
        <v>224</v>
      </c>
      <c r="C17">
        <f t="shared" si="0"/>
        <v>6.3074792243767321</v>
      </c>
      <c r="D17">
        <f t="shared" si="1"/>
        <v>0.46395392000000002</v>
      </c>
      <c r="E17" s="3">
        <f t="shared" si="2"/>
        <v>207</v>
      </c>
      <c r="F17" s="3">
        <f t="shared" si="6"/>
        <v>224</v>
      </c>
      <c r="G17" s="2">
        <f t="shared" si="4"/>
        <v>6.3074792243767321</v>
      </c>
      <c r="H17" s="2">
        <f t="shared" si="5"/>
        <v>0.43122687999999998</v>
      </c>
    </row>
    <row r="18" spans="1:8">
      <c r="A18">
        <v>246</v>
      </c>
      <c r="B18">
        <v>203</v>
      </c>
      <c r="C18">
        <f t="shared" si="0"/>
        <v>5.8808864265927978</v>
      </c>
      <c r="D18">
        <f t="shared" si="1"/>
        <v>0.42352640000000003</v>
      </c>
      <c r="E18" s="3">
        <f t="shared" si="2"/>
        <v>193</v>
      </c>
      <c r="F18" s="3">
        <f t="shared" si="6"/>
        <v>203</v>
      </c>
      <c r="G18" s="2">
        <f t="shared" si="4"/>
        <v>5.8808864265927978</v>
      </c>
      <c r="H18" s="2">
        <f t="shared" si="5"/>
        <v>0.39079936000000004</v>
      </c>
    </row>
    <row r="19" spans="1:8">
      <c r="A19">
        <v>244</v>
      </c>
      <c r="B19">
        <v>189</v>
      </c>
      <c r="C19">
        <f t="shared" si="0"/>
        <v>5.8199445983379512</v>
      </c>
      <c r="D19">
        <f t="shared" si="1"/>
        <v>0.39657471999999999</v>
      </c>
      <c r="E19" s="3">
        <f t="shared" si="2"/>
        <v>191</v>
      </c>
      <c r="F19" s="3">
        <f t="shared" si="6"/>
        <v>189</v>
      </c>
      <c r="G19" s="2">
        <f t="shared" si="4"/>
        <v>5.8199445983379512</v>
      </c>
      <c r="H19" s="2">
        <f t="shared" si="5"/>
        <v>0.36384768000000001</v>
      </c>
    </row>
    <row r="20" spans="1:8">
      <c r="A20">
        <v>237</v>
      </c>
      <c r="B20">
        <v>31</v>
      </c>
      <c r="C20">
        <f t="shared" si="0"/>
        <v>5.6066481994459831</v>
      </c>
      <c r="D20">
        <f t="shared" si="1"/>
        <v>9.2405760000000017E-2</v>
      </c>
      <c r="E20" s="3">
        <f t="shared" si="2"/>
        <v>184</v>
      </c>
      <c r="F20" s="3">
        <f t="shared" si="6"/>
        <v>31</v>
      </c>
      <c r="G20" s="2">
        <f t="shared" si="4"/>
        <v>5.6066481994459831</v>
      </c>
      <c r="H20" s="2">
        <f t="shared" si="5"/>
        <v>5.9678719999999998E-2</v>
      </c>
    </row>
    <row r="21" spans="1:8">
      <c r="A21">
        <v>226</v>
      </c>
      <c r="B21">
        <v>0</v>
      </c>
      <c r="C21">
        <f t="shared" si="0"/>
        <v>5.271468144044321</v>
      </c>
      <c r="D21">
        <f t="shared" si="1"/>
        <v>3.2727039999999999E-2</v>
      </c>
      <c r="E21" s="3">
        <f t="shared" si="2"/>
        <v>173</v>
      </c>
      <c r="F21" s="3">
        <f t="shared" si="6"/>
        <v>0</v>
      </c>
      <c r="G21" s="2">
        <f t="shared" si="4"/>
        <v>5.271468144044321</v>
      </c>
      <c r="H21" s="2">
        <f t="shared" si="5"/>
        <v>0</v>
      </c>
    </row>
    <row r="22" spans="1:8">
      <c r="A22">
        <v>203</v>
      </c>
      <c r="B22">
        <v>-70</v>
      </c>
      <c r="C22">
        <f t="shared" si="0"/>
        <v>4.5706371191135737</v>
      </c>
      <c r="D22">
        <f t="shared" si="1"/>
        <v>-0.10203136</v>
      </c>
      <c r="E22" s="3">
        <f t="shared" si="2"/>
        <v>150</v>
      </c>
      <c r="F22" s="3">
        <f t="shared" si="3"/>
        <v>-53</v>
      </c>
      <c r="G22" s="2">
        <f t="shared" si="4"/>
        <v>4.5706371191135737</v>
      </c>
      <c r="H22" s="2">
        <f t="shared" si="5"/>
        <v>-0.10203136</v>
      </c>
    </row>
    <row r="23" spans="1:8">
      <c r="A23">
        <v>179</v>
      </c>
      <c r="B23">
        <v>-104</v>
      </c>
      <c r="C23">
        <f t="shared" si="0"/>
        <v>3.8393351800554019</v>
      </c>
      <c r="D23">
        <f t="shared" si="1"/>
        <v>-0.16748544000000001</v>
      </c>
      <c r="E23" s="3">
        <f t="shared" si="2"/>
        <v>126</v>
      </c>
      <c r="F23" s="3">
        <f t="shared" si="3"/>
        <v>-87</v>
      </c>
      <c r="G23" s="2">
        <f t="shared" si="4"/>
        <v>3.8393351800554019</v>
      </c>
      <c r="H23" s="2">
        <f t="shared" si="5"/>
        <v>-0.16748544000000001</v>
      </c>
    </row>
    <row r="24" spans="1:8">
      <c r="A24">
        <v>146</v>
      </c>
      <c r="B24">
        <v>-138</v>
      </c>
      <c r="C24">
        <f t="shared" si="0"/>
        <v>2.8337950138504158</v>
      </c>
      <c r="D24">
        <f t="shared" si="1"/>
        <v>-0.23293951999999998</v>
      </c>
      <c r="E24" s="3">
        <f t="shared" si="2"/>
        <v>93</v>
      </c>
      <c r="F24" s="3">
        <f t="shared" si="3"/>
        <v>-121</v>
      </c>
      <c r="G24" s="2">
        <f t="shared" si="4"/>
        <v>2.8337950138504158</v>
      </c>
      <c r="H24" s="2">
        <f t="shared" si="5"/>
        <v>-0.23293951999999998</v>
      </c>
    </row>
    <row r="25" spans="1:8">
      <c r="A25">
        <v>100</v>
      </c>
      <c r="B25">
        <v>-168</v>
      </c>
      <c r="C25">
        <f t="shared" si="0"/>
        <v>1.4321329639889198</v>
      </c>
      <c r="D25">
        <f t="shared" si="1"/>
        <v>-0.29069312000000003</v>
      </c>
      <c r="E25" s="3">
        <f t="shared" si="2"/>
        <v>47</v>
      </c>
      <c r="F25" s="3">
        <f t="shared" si="3"/>
        <v>-151</v>
      </c>
      <c r="G25" s="2">
        <f t="shared" si="4"/>
        <v>1.4321329639889198</v>
      </c>
      <c r="H25" s="2">
        <f t="shared" si="5"/>
        <v>-0.29069312000000003</v>
      </c>
    </row>
    <row r="26" spans="1:8">
      <c r="A26">
        <v>0</v>
      </c>
      <c r="B26">
        <v>-204</v>
      </c>
      <c r="C26">
        <f t="shared" si="0"/>
        <v>-1.6149584487534627</v>
      </c>
      <c r="D26">
        <f t="shared" si="1"/>
        <v>-0.35999744</v>
      </c>
      <c r="E26" s="3">
        <f t="shared" si="2"/>
        <v>-53</v>
      </c>
      <c r="F26" s="3">
        <f t="shared" si="3"/>
        <v>-187</v>
      </c>
      <c r="G26" s="2">
        <f t="shared" si="4"/>
        <v>-1.6149584487534627</v>
      </c>
      <c r="H26" s="2">
        <f t="shared" si="5"/>
        <v>-0.35999744</v>
      </c>
    </row>
    <row r="27" spans="1:8">
      <c r="A27">
        <v>-100</v>
      </c>
      <c r="B27">
        <v>-226</v>
      </c>
      <c r="C27">
        <f t="shared" si="0"/>
        <v>-4.662049861495845</v>
      </c>
      <c r="D27">
        <f t="shared" si="1"/>
        <v>-0.40235008000000005</v>
      </c>
      <c r="E27" s="3">
        <f t="shared" si="2"/>
        <v>-153</v>
      </c>
      <c r="F27" s="3">
        <f t="shared" si="3"/>
        <v>-209</v>
      </c>
      <c r="G27" s="2">
        <f t="shared" si="4"/>
        <v>-4.662049861495845</v>
      </c>
      <c r="H27" s="2">
        <f t="shared" si="5"/>
        <v>-0.40235008000000005</v>
      </c>
    </row>
    <row r="28" spans="1:8">
      <c r="A28">
        <v>-304</v>
      </c>
      <c r="B28">
        <v>-248</v>
      </c>
      <c r="C28">
        <f t="shared" si="0"/>
        <v>-10.878116343490305</v>
      </c>
      <c r="D28">
        <f t="shared" si="1"/>
        <v>-0.44470272000000005</v>
      </c>
      <c r="E28" s="3">
        <f t="shared" si="2"/>
        <v>-357</v>
      </c>
      <c r="F28" s="3">
        <f t="shared" si="3"/>
        <v>-231</v>
      </c>
      <c r="G28" s="2">
        <f t="shared" si="4"/>
        <v>-10.878116343490305</v>
      </c>
      <c r="H28" s="2">
        <f t="shared" si="5"/>
        <v>-0.44470272000000005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4"/>
  <sheetViews>
    <sheetView tabSelected="1" topLeftCell="A17" workbookViewId="0">
      <selection activeCell="D17" sqref="D17"/>
    </sheetView>
  </sheetViews>
  <sheetFormatPr defaultRowHeight="13.5"/>
  <sheetData>
    <row r="1" spans="1:3">
      <c r="A1" t="s">
        <v>4</v>
      </c>
      <c r="B1" t="s">
        <v>5</v>
      </c>
    </row>
    <row r="2" spans="1:3">
      <c r="A2">
        <v>25</v>
      </c>
      <c r="B2">
        <v>14.7</v>
      </c>
    </row>
    <row r="3" spans="1:3">
      <c r="A3">
        <v>32</v>
      </c>
      <c r="B3">
        <v>14.8</v>
      </c>
      <c r="C3">
        <f>(B3-B2)/(A3-A2)</f>
        <v>1.4285714285714488E-2</v>
      </c>
    </row>
    <row r="4" spans="1:3">
      <c r="A4">
        <v>40</v>
      </c>
      <c r="B4">
        <v>14.8</v>
      </c>
      <c r="C4">
        <f>(B4-B3)/(A4-A3)</f>
        <v>0</v>
      </c>
    </row>
    <row r="5" spans="1:3">
      <c r="A5">
        <v>70</v>
      </c>
      <c r="B5">
        <v>14.7</v>
      </c>
      <c r="C5">
        <f t="shared" ref="C5:C44" si="0">(B5-B4)/(A5-A4)</f>
        <v>-3.3333333333333808E-3</v>
      </c>
    </row>
    <row r="6" spans="1:3">
      <c r="A6">
        <v>75.3</v>
      </c>
      <c r="B6">
        <v>14.7</v>
      </c>
      <c r="C6">
        <f t="shared" si="0"/>
        <v>0</v>
      </c>
    </row>
    <row r="7" spans="1:3">
      <c r="A7">
        <v>76.900000000000006</v>
      </c>
      <c r="B7">
        <v>14.6</v>
      </c>
      <c r="C7">
        <f t="shared" si="0"/>
        <v>-6.2499999999999445E-2</v>
      </c>
    </row>
    <row r="8" spans="1:3">
      <c r="A8">
        <v>77.7</v>
      </c>
      <c r="B8">
        <v>14.5</v>
      </c>
      <c r="C8">
        <f t="shared" si="0"/>
        <v>-0.125</v>
      </c>
    </row>
    <row r="9" spans="1:3">
      <c r="A9">
        <v>79.599999999999994</v>
      </c>
      <c r="B9">
        <v>14.4</v>
      </c>
      <c r="C9">
        <f t="shared" si="0"/>
        <v>-5.2631578947368474E-2</v>
      </c>
    </row>
    <row r="10" spans="1:3">
      <c r="A10">
        <v>80</v>
      </c>
      <c r="B10">
        <v>14.2</v>
      </c>
      <c r="C10">
        <f t="shared" si="0"/>
        <v>-0.49999999999999556</v>
      </c>
    </row>
    <row r="11" spans="1:3">
      <c r="A11">
        <v>80.400000000000006</v>
      </c>
      <c r="B11">
        <v>13.9</v>
      </c>
      <c r="C11">
        <f t="shared" si="0"/>
        <v>-0.74999999999998668</v>
      </c>
    </row>
    <row r="12" spans="1:3">
      <c r="A12">
        <v>80.599999999999994</v>
      </c>
      <c r="B12">
        <v>13.8</v>
      </c>
      <c r="C12">
        <f t="shared" si="0"/>
        <v>-0.50000000000002665</v>
      </c>
    </row>
    <row r="13" spans="1:3">
      <c r="A13">
        <v>80.8</v>
      </c>
      <c r="B13">
        <v>13.4</v>
      </c>
      <c r="C13">
        <f t="shared" si="0"/>
        <v>-1.9999999999999734</v>
      </c>
    </row>
    <row r="14" spans="1:3">
      <c r="A14">
        <v>81.099999999999994</v>
      </c>
      <c r="B14">
        <v>12.9</v>
      </c>
      <c r="C14">
        <f t="shared" si="0"/>
        <v>-1.6666666666666825</v>
      </c>
    </row>
    <row r="15" spans="1:3">
      <c r="A15">
        <v>81.5</v>
      </c>
      <c r="B15">
        <v>12.2</v>
      </c>
      <c r="C15">
        <f t="shared" si="0"/>
        <v>-1.7499999999999778</v>
      </c>
    </row>
    <row r="16" spans="1:3">
      <c r="A16">
        <v>81.900000000000006</v>
      </c>
      <c r="B16">
        <v>11.5</v>
      </c>
      <c r="C16">
        <f t="shared" si="0"/>
        <v>-1.7499999999999734</v>
      </c>
    </row>
    <row r="17" spans="1:3">
      <c r="A17">
        <v>82.2</v>
      </c>
      <c r="B17">
        <v>10.9</v>
      </c>
      <c r="C17">
        <f t="shared" si="0"/>
        <v>-2.0000000000000178</v>
      </c>
    </row>
    <row r="18" spans="1:3">
      <c r="A18">
        <v>82.5</v>
      </c>
      <c r="B18">
        <v>10.3</v>
      </c>
      <c r="C18">
        <f t="shared" si="0"/>
        <v>-2.0000000000000178</v>
      </c>
    </row>
    <row r="19" spans="1:3">
      <c r="A19">
        <v>82.8</v>
      </c>
      <c r="B19">
        <v>9.9</v>
      </c>
      <c r="C19">
        <f t="shared" si="0"/>
        <v>-1.3333333333333472</v>
      </c>
    </row>
    <row r="20" spans="1:3">
      <c r="A20">
        <v>83.1</v>
      </c>
      <c r="B20">
        <v>9.5</v>
      </c>
      <c r="C20">
        <f t="shared" si="0"/>
        <v>-1.3333333333333472</v>
      </c>
    </row>
    <row r="21" spans="1:3">
      <c r="A21">
        <v>83.5</v>
      </c>
      <c r="B21">
        <v>8.8000000000000007</v>
      </c>
      <c r="C21">
        <f t="shared" si="0"/>
        <v>-1.7499999999999734</v>
      </c>
    </row>
    <row r="22" spans="1:3">
      <c r="A22">
        <v>83.9</v>
      </c>
      <c r="B22">
        <v>8.3000000000000007</v>
      </c>
      <c r="C22">
        <f t="shared" si="0"/>
        <v>-1.2499999999999822</v>
      </c>
    </row>
    <row r="23" spans="1:3">
      <c r="A23">
        <v>84.1</v>
      </c>
      <c r="B23">
        <v>8.1</v>
      </c>
      <c r="C23">
        <f t="shared" si="0"/>
        <v>-1.0000000000000622</v>
      </c>
    </row>
    <row r="24" spans="1:3">
      <c r="A24">
        <v>84.4</v>
      </c>
      <c r="B24">
        <v>7.7</v>
      </c>
      <c r="C24">
        <f t="shared" si="0"/>
        <v>-1.3333333333332811</v>
      </c>
    </row>
    <row r="25" spans="1:3">
      <c r="A25">
        <v>84.9</v>
      </c>
      <c r="B25">
        <v>7.2</v>
      </c>
      <c r="C25">
        <f t="shared" si="0"/>
        <v>-1</v>
      </c>
    </row>
    <row r="26" spans="1:3">
      <c r="A26">
        <v>85.2</v>
      </c>
      <c r="B26">
        <v>6.8</v>
      </c>
      <c r="C26">
        <f t="shared" si="0"/>
        <v>-1.3333333333333472</v>
      </c>
    </row>
    <row r="27" spans="1:3">
      <c r="A27">
        <v>85.5</v>
      </c>
      <c r="B27">
        <v>6.5</v>
      </c>
      <c r="C27">
        <f t="shared" si="0"/>
        <v>-1.0000000000000089</v>
      </c>
    </row>
    <row r="28" spans="1:3">
      <c r="A28">
        <v>85.8</v>
      </c>
      <c r="B28">
        <v>6.2</v>
      </c>
      <c r="C28">
        <f t="shared" si="0"/>
        <v>-1.0000000000000089</v>
      </c>
    </row>
    <row r="29" spans="1:3">
      <c r="A29">
        <v>86.2</v>
      </c>
      <c r="B29">
        <v>5.8</v>
      </c>
      <c r="C29">
        <f t="shared" si="0"/>
        <v>-0.99999999999998668</v>
      </c>
    </row>
    <row r="30" spans="1:3">
      <c r="A30">
        <v>86.6</v>
      </c>
      <c r="B30">
        <v>5.5</v>
      </c>
      <c r="C30">
        <f t="shared" si="0"/>
        <v>-0.75000000000001554</v>
      </c>
    </row>
    <row r="31" spans="1:3">
      <c r="A31">
        <v>87</v>
      </c>
      <c r="B31">
        <v>5.2</v>
      </c>
      <c r="C31">
        <f t="shared" si="0"/>
        <v>-0.7499999999999889</v>
      </c>
    </row>
    <row r="32" spans="1:3">
      <c r="A32">
        <v>87.3</v>
      </c>
      <c r="B32">
        <v>5</v>
      </c>
      <c r="C32">
        <f t="shared" si="0"/>
        <v>-0.66666666666667362</v>
      </c>
    </row>
    <row r="33" spans="1:3">
      <c r="A33">
        <v>87.7</v>
      </c>
      <c r="B33">
        <v>4.8</v>
      </c>
      <c r="C33">
        <f t="shared" si="0"/>
        <v>-0.49999999999999334</v>
      </c>
    </row>
    <row r="34" spans="1:3">
      <c r="A34">
        <v>88</v>
      </c>
      <c r="B34">
        <v>4.5999999999999996</v>
      </c>
      <c r="C34">
        <f t="shared" si="0"/>
        <v>-0.66666666666667362</v>
      </c>
    </row>
    <row r="35" spans="1:3">
      <c r="A35">
        <v>88.3</v>
      </c>
      <c r="B35">
        <v>4.4000000000000004</v>
      </c>
      <c r="C35">
        <f t="shared" si="0"/>
        <v>-0.66666666666667063</v>
      </c>
    </row>
    <row r="36" spans="1:3">
      <c r="A36">
        <v>88.8</v>
      </c>
      <c r="B36">
        <v>4.2</v>
      </c>
      <c r="C36">
        <f t="shared" si="0"/>
        <v>-0.40000000000000036</v>
      </c>
    </row>
    <row r="37" spans="1:3">
      <c r="A37">
        <v>89.2</v>
      </c>
      <c r="B37">
        <v>3.9</v>
      </c>
      <c r="C37">
        <f t="shared" si="0"/>
        <v>-0.74999999999999001</v>
      </c>
    </row>
    <row r="38" spans="1:3">
      <c r="A38">
        <v>89.6</v>
      </c>
      <c r="B38">
        <v>3.5</v>
      </c>
      <c r="C38">
        <f t="shared" si="0"/>
        <v>-1.0000000000000211</v>
      </c>
    </row>
    <row r="39" spans="1:3">
      <c r="A39">
        <v>90.3</v>
      </c>
      <c r="B39">
        <v>3.3</v>
      </c>
      <c r="C39">
        <f t="shared" si="0"/>
        <v>-0.28571428571428481</v>
      </c>
    </row>
    <row r="40" spans="1:3">
      <c r="A40">
        <v>91.1</v>
      </c>
      <c r="B40">
        <v>3.1</v>
      </c>
      <c r="C40">
        <f t="shared" si="0"/>
        <v>-0.25000000000000056</v>
      </c>
    </row>
    <row r="41" spans="1:3">
      <c r="A41">
        <v>91.6</v>
      </c>
      <c r="B41">
        <v>2.9</v>
      </c>
      <c r="C41">
        <f t="shared" si="0"/>
        <v>-0.40000000000000036</v>
      </c>
    </row>
    <row r="42" spans="1:3">
      <c r="A42">
        <v>92.1</v>
      </c>
      <c r="B42">
        <v>2.9</v>
      </c>
      <c r="C42">
        <f t="shared" si="0"/>
        <v>0</v>
      </c>
    </row>
    <row r="43" spans="1:3">
      <c r="A43">
        <v>92.4</v>
      </c>
      <c r="B43">
        <v>2.8</v>
      </c>
      <c r="C43">
        <f t="shared" si="0"/>
        <v>-0.33333333333332099</v>
      </c>
    </row>
    <row r="44" spans="1:3">
      <c r="A44">
        <v>95.6</v>
      </c>
      <c r="B44">
        <v>2.8</v>
      </c>
      <c r="C44">
        <f t="shared" si="0"/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2007-11-08T13:21:52Z</dcterms:modified>
</cp:coreProperties>
</file>