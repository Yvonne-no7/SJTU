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<sst xmlns="http://schemas.openxmlformats.org/spreadsheetml/2006/main" count="39" uniqueCount="32">
  <si>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磁电转换特性</t>
  </si>
  <si>
    <t>线圈电流/mA</t>
  </si>
  <si>
    <t>B</t>
  </si>
  <si>
    <t>U</t>
  </si>
  <si>
    <t>磁感应强度B/Gs</t>
  </si>
  <si>
    <t>输出电压/V</t>
  </si>
  <si>
    <t>各向异性特性</t>
  </si>
  <si>
    <r>
      <rPr>
        <sz val="11"/>
        <color theme="1"/>
        <rFont val="等线"/>
        <charset val="134"/>
        <scheme val="minor"/>
      </rPr>
      <t>夹角α/</t>
    </r>
    <r>
      <rPr>
        <vertAlign val="superscript"/>
        <sz val="11"/>
        <color theme="1"/>
        <rFont val="等线"/>
        <charset val="134"/>
        <scheme val="minor"/>
      </rPr>
      <t>。</t>
    </r>
  </si>
  <si>
    <t>轴向磁场测量</t>
  </si>
  <si>
    <t>位置x</t>
  </si>
  <si>
    <t>B(x)理论值/Gs</t>
  </si>
  <si>
    <t>U(x)测量值/V</t>
  </si>
  <si>
    <t>B(x)测量值/Gs</t>
  </si>
  <si>
    <t>相对误差</t>
  </si>
  <si>
    <t>空间磁场测量（原数据：输出电压U/V）</t>
  </si>
  <si>
    <t>S=</t>
  </si>
  <si>
    <r>
      <rPr>
        <vertAlign val="subscript"/>
        <sz val="11"/>
        <color theme="1"/>
        <rFont val="等线"/>
        <charset val="134"/>
        <scheme val="minor"/>
      </rPr>
      <t xml:space="preserve">Y                </t>
    </r>
    <r>
      <rPr>
        <vertAlign val="superscript"/>
        <sz val="11"/>
        <color theme="1"/>
        <rFont val="等线"/>
        <charset val="134"/>
        <scheme val="minor"/>
      </rPr>
      <t>X</t>
    </r>
  </si>
  <si>
    <t>0.05R</t>
  </si>
  <si>
    <t>0.10R</t>
  </si>
  <si>
    <t>0.15R</t>
  </si>
  <si>
    <t>0.20R</t>
  </si>
  <si>
    <t>0.25R</t>
  </si>
  <si>
    <t>0.30R</t>
  </si>
  <si>
    <t>空间磁场测量（数据处理：磁感应强度B/Gs）</t>
  </si>
  <si>
    <r>
      <rPr>
        <vertAlign val="subscript"/>
        <sz val="11"/>
        <color theme="1"/>
        <rFont val="等线"/>
        <charset val="134"/>
        <scheme val="minor"/>
      </rPr>
      <t xml:space="preserve">Y轴(mm)           </t>
    </r>
    <r>
      <rPr>
        <vertAlign val="superscript"/>
        <sz val="11"/>
        <color theme="1"/>
        <rFont val="等线"/>
        <charset val="134"/>
        <scheme val="minor"/>
      </rPr>
      <t>X轴(mm)</t>
    </r>
  </si>
  <si>
    <t xml:space="preserve"> </t>
  </si>
  <si>
    <t>地磁场测量</t>
  </si>
  <si>
    <r>
      <rPr>
        <sz val="11"/>
        <color theme="1"/>
        <rFont val="等线"/>
        <charset val="134"/>
        <scheme val="minor"/>
      </rPr>
      <t>磁倾角I/</t>
    </r>
    <r>
      <rPr>
        <vertAlign val="superscript"/>
        <sz val="11"/>
        <color theme="1"/>
        <rFont val="等线"/>
        <charset val="134"/>
        <scheme val="minor"/>
      </rPr>
      <t>。</t>
    </r>
  </si>
  <si>
    <r>
      <rPr>
        <sz val="11"/>
        <color theme="1"/>
        <rFont val="等线"/>
        <charset val="134"/>
        <scheme val="minor"/>
      </rPr>
      <t>输出电压U</t>
    </r>
    <r>
      <rPr>
        <vertAlign val="subscript"/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/V</t>
    </r>
  </si>
  <si>
    <r>
      <rPr>
        <sz val="11"/>
        <color theme="1"/>
        <rFont val="等线"/>
        <charset val="134"/>
        <scheme val="minor"/>
      </rPr>
      <t>输出电压U</t>
    </r>
    <r>
      <rPr>
        <vertAlign val="subscript"/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/V</t>
    </r>
  </si>
  <si>
    <r>
      <rPr>
        <sz val="11"/>
        <color theme="1"/>
        <rFont val="等线"/>
        <charset val="134"/>
        <scheme val="minor"/>
      </rPr>
      <t>U=(U</t>
    </r>
    <r>
      <rPr>
        <vertAlign val="subscript"/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-U</t>
    </r>
    <r>
      <rPr>
        <vertAlign val="subscript"/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)/2  /V</t>
    </r>
  </si>
  <si>
    <t>B=U/0.25  /Gs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</si>
</sst>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%"/>
    <numFmt numFmtId="179" formatCode="0.00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vertAlign val="subscript"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338455</xdr:colOff>
      <xdr:row>0</xdr:row>
      <xdr:rowOff>104140</xdr:rowOff>
    </xdr:from>
    <xdr:to>
      <xdr:col>26</xdr:col>
      <xdr:colOff>137795</xdr:colOff>
      <xdr:row>15</xdr:row>
      <xdr:rowOff>147955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rcRect l="14255" t="2110" r="7333" b="13886"/>
        <a:stretch>
          <a:fillRect/>
        </a:stretch>
      </xdr:blipFill>
      <xdr:spPr>
        <a:xfrm>
          <a:off x="10641330" y="104140"/>
          <a:ext cx="4258945" cy="34201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97"/>
  <sheetViews>
    <sheetView tabSelected="1" zoomScale="90" zoomScaleNormal="90" topLeftCell="A26" workbookViewId="0">
      <selection activeCell="B42" sqref="B42"/>
    </sheetView>
  </sheetViews>
  <sheetFormatPr defaultColWidth="9" defaultRowHeight="13.85"/>
  <cols>
    <col min="1" max="1" width="14.5840707964602" customWidth="1"/>
    <col min="2" max="10" width="7.58407079646018" customWidth="1"/>
    <col min="11" max="25" width="7.5929203539823" customWidth="1"/>
  </cols>
  <sheetData>
    <row r="1" ht="18" customHeight="1" spans="1:18">
      <c r="A1" s="1" t="s">
        <v>0</v>
      </c>
      <c r="B1" s="2"/>
      <c r="C1" s="2"/>
      <c r="D1" s="2"/>
      <c r="E1" s="2"/>
    </row>
    <row r="2" ht="18" customHeight="1" spans="1:18">
      <c r="A2" s="3" t="s">
        <v>1</v>
      </c>
      <c r="B2" s="3">
        <v>300</v>
      </c>
      <c r="C2" s="3">
        <v>250</v>
      </c>
      <c r="D2" s="3">
        <v>200</v>
      </c>
      <c r="E2" s="3">
        <v>150</v>
      </c>
      <c r="F2" s="3">
        <v>100</v>
      </c>
      <c r="G2" s="3">
        <v>50</v>
      </c>
      <c r="H2" s="3">
        <v>0</v>
      </c>
      <c r="I2" s="3">
        <v>-50</v>
      </c>
      <c r="J2" s="3">
        <v>-100</v>
      </c>
      <c r="K2" s="3">
        <v>-150</v>
      </c>
      <c r="L2" s="3">
        <v>-200</v>
      </c>
      <c r="M2" s="3">
        <v>-250</v>
      </c>
      <c r="N2" s="3">
        <v>-300</v>
      </c>
      <c r="Q2" s="3" t="s">
        <v>2</v>
      </c>
      <c r="R2" s="3" t="s">
        <v>3</v>
      </c>
    </row>
    <row r="3" ht="18" customHeight="1" spans="1:18">
      <c r="A3" s="3" t="s">
        <v>4</v>
      </c>
      <c r="B3" s="3">
        <v>6</v>
      </c>
      <c r="C3" s="3">
        <v>5</v>
      </c>
      <c r="D3" s="3">
        <v>4</v>
      </c>
      <c r="E3" s="3">
        <v>3</v>
      </c>
      <c r="F3" s="3">
        <v>2</v>
      </c>
      <c r="G3" s="3">
        <v>1</v>
      </c>
      <c r="H3" s="3">
        <v>0</v>
      </c>
      <c r="I3" s="3">
        <v>-1</v>
      </c>
      <c r="J3" s="3">
        <v>-2</v>
      </c>
      <c r="K3" s="3">
        <v>-3</v>
      </c>
      <c r="L3" s="3">
        <v>-4</v>
      </c>
      <c r="M3" s="3">
        <v>-5</v>
      </c>
      <c r="N3" s="3">
        <v>-6</v>
      </c>
      <c r="Q3" s="3">
        <v>6</v>
      </c>
      <c r="R3" s="4">
        <v>1.5</v>
      </c>
    </row>
    <row r="4" ht="18" customHeight="1" spans="1:18">
      <c r="A4" s="3" t="s">
        <v>5</v>
      </c>
      <c r="B4" s="4">
        <v>1.5</v>
      </c>
      <c r="C4" s="4">
        <v>1.269</v>
      </c>
      <c r="D4" s="4">
        <v>1.028</v>
      </c>
      <c r="E4" s="4">
        <v>0.775</v>
      </c>
      <c r="F4" s="4">
        <v>0.52</v>
      </c>
      <c r="G4" s="4">
        <v>0.261</v>
      </c>
      <c r="H4" s="5">
        <v>0</v>
      </c>
      <c r="I4" s="4">
        <v>-0.261</v>
      </c>
      <c r="J4" s="4">
        <v>-0.52</v>
      </c>
      <c r="K4" s="4">
        <v>-0.773</v>
      </c>
      <c r="L4" s="4">
        <v>-1.017</v>
      </c>
      <c r="M4" s="4">
        <v>-1.257</v>
      </c>
      <c r="N4" s="4">
        <v>-1.482</v>
      </c>
      <c r="Q4" s="3">
        <v>5</v>
      </c>
      <c r="R4" s="4">
        <v>1.269</v>
      </c>
    </row>
    <row r="5" spans="1:18">
      <c r="A5" s="6"/>
      <c r="C5" s="6"/>
      <c r="D5" s="6"/>
      <c r="E5" s="6"/>
      <c r="F5" s="6"/>
      <c r="Q5" s="3">
        <v>4</v>
      </c>
      <c r="R5" s="4">
        <v>1.028</v>
      </c>
    </row>
    <row r="6" ht="18" customHeight="1" spans="1:18">
      <c r="A6" s="1" t="s">
        <v>6</v>
      </c>
      <c r="B6" s="2"/>
      <c r="C6" s="2"/>
      <c r="D6" s="2"/>
      <c r="E6" s="2"/>
      <c r="Q6" s="3">
        <v>3</v>
      </c>
      <c r="R6" s="4">
        <v>0.775</v>
      </c>
    </row>
    <row r="7" ht="18" customHeight="1" spans="1:18">
      <c r="A7" s="7" t="s">
        <v>7</v>
      </c>
      <c r="B7" s="3">
        <v>0</v>
      </c>
      <c r="C7" s="3">
        <v>10</v>
      </c>
      <c r="D7" s="3">
        <v>20</v>
      </c>
      <c r="E7" s="3">
        <v>30</v>
      </c>
      <c r="F7" s="3">
        <v>40</v>
      </c>
      <c r="G7" s="3">
        <v>50</v>
      </c>
      <c r="H7" s="3">
        <v>60</v>
      </c>
      <c r="I7" s="3">
        <v>70</v>
      </c>
      <c r="J7" s="3">
        <v>80</v>
      </c>
      <c r="K7" s="3">
        <v>90</v>
      </c>
      <c r="N7" s="3">
        <v>0</v>
      </c>
      <c r="O7" s="3">
        <v>1.027</v>
      </c>
      <c r="Q7" s="3">
        <v>2</v>
      </c>
      <c r="R7" s="4">
        <v>0.52</v>
      </c>
    </row>
    <row r="8" ht="18" customHeight="1" spans="1:18">
      <c r="A8" s="3" t="s">
        <v>5</v>
      </c>
      <c r="B8" s="3">
        <v>1.027</v>
      </c>
      <c r="C8" s="3">
        <v>1.014</v>
      </c>
      <c r="D8" s="3">
        <v>0.974</v>
      </c>
      <c r="E8" s="3">
        <v>0.906</v>
      </c>
      <c r="F8" s="3">
        <v>0.802</v>
      </c>
      <c r="G8" s="3">
        <v>0.683</v>
      </c>
      <c r="H8" s="3">
        <v>0.538</v>
      </c>
      <c r="I8" s="3">
        <v>0.371</v>
      </c>
      <c r="J8" s="3">
        <v>0.194</v>
      </c>
      <c r="K8" s="3">
        <v>0.002</v>
      </c>
      <c r="N8" s="3">
        <v>10</v>
      </c>
      <c r="O8" s="3">
        <v>1.014</v>
      </c>
      <c r="Q8" s="3">
        <v>1</v>
      </c>
      <c r="R8" s="4">
        <v>0.261</v>
      </c>
    </row>
    <row r="9" ht="18" customHeight="1" spans="1:18">
      <c r="A9" s="8"/>
      <c r="N9" s="3">
        <v>20</v>
      </c>
      <c r="O9" s="3">
        <v>0.974</v>
      </c>
      <c r="Q9" s="3">
        <v>0</v>
      </c>
      <c r="R9" s="5">
        <v>0</v>
      </c>
    </row>
    <row r="10" ht="18" customHeight="1" spans="1:18">
      <c r="A10" s="1" t="s">
        <v>8</v>
      </c>
      <c r="B10" s="2"/>
      <c r="C10" s="2"/>
      <c r="D10" s="2"/>
      <c r="E10" s="2"/>
      <c r="N10" s="3">
        <v>30</v>
      </c>
      <c r="O10" s="3">
        <v>0.906</v>
      </c>
      <c r="Q10" s="3">
        <v>-1</v>
      </c>
      <c r="R10" s="4">
        <v>-0.261</v>
      </c>
    </row>
    <row r="11" ht="18" customHeight="1" spans="1:18">
      <c r="A11" s="3" t="s">
        <v>9</v>
      </c>
      <c r="B11" s="9">
        <v>-0.5</v>
      </c>
      <c r="C11" s="9">
        <v>-0.4</v>
      </c>
      <c r="D11" s="9">
        <v>-0.3</v>
      </c>
      <c r="E11" s="9">
        <v>-0.2</v>
      </c>
      <c r="F11" s="9">
        <v>-0.1</v>
      </c>
      <c r="G11" s="9">
        <v>0</v>
      </c>
      <c r="H11" s="9">
        <v>0.0999999999999999</v>
      </c>
      <c r="I11" s="9">
        <v>0.2</v>
      </c>
      <c r="J11" s="9">
        <v>0.3</v>
      </c>
      <c r="K11" s="9">
        <v>0.4</v>
      </c>
      <c r="L11" s="9">
        <v>0.5</v>
      </c>
      <c r="N11" s="3">
        <v>40</v>
      </c>
      <c r="O11" s="3">
        <v>0.802</v>
      </c>
      <c r="Q11" s="3">
        <v>-2</v>
      </c>
      <c r="R11" s="4">
        <v>-0.52</v>
      </c>
    </row>
    <row r="12" ht="18" customHeight="1" spans="1:18">
      <c r="A12" s="3" t="s">
        <v>10</v>
      </c>
      <c r="B12" s="3">
        <f>4*5^(1.5)/16*(1/(1+(0.5+B11)^2)^1.5+1/(1+(0.5-B11)^2)^1.5)</f>
        <v>3.78329674067736</v>
      </c>
      <c r="C12" s="3">
        <f>4*5^(1.5)/16*(1/(1+(0.5+C11)^2)^1.5+1/(1+(0.5-C11)^2)^1.5)</f>
        <v>3.90150562336139</v>
      </c>
      <c r="D12" s="3">
        <f t="shared" ref="D12:L12" si="0">4*5^(1.5)/16*(1/(1+(0.5+D11)^2)^1.5+1/(1+(0.5-D11)^2)^1.5)</f>
        <v>3.96624109416021</v>
      </c>
      <c r="E12" s="3">
        <f t="shared" si="0"/>
        <v>3.99294600631574</v>
      </c>
      <c r="F12" s="3">
        <f t="shared" si="0"/>
        <v>3.99954423070212</v>
      </c>
      <c r="G12" s="3">
        <f t="shared" si="0"/>
        <v>4</v>
      </c>
      <c r="H12" s="3">
        <f t="shared" si="0"/>
        <v>3.99954423070212</v>
      </c>
      <c r="I12" s="3">
        <f t="shared" si="0"/>
        <v>3.99294600631574</v>
      </c>
      <c r="J12" s="3">
        <f t="shared" si="0"/>
        <v>3.96624109416021</v>
      </c>
      <c r="K12" s="3">
        <f t="shared" si="0"/>
        <v>3.90150562336139</v>
      </c>
      <c r="L12" s="3">
        <f t="shared" si="0"/>
        <v>3.78329674067736</v>
      </c>
      <c r="N12" s="3">
        <v>50</v>
      </c>
      <c r="O12" s="3">
        <v>0.683</v>
      </c>
      <c r="Q12" s="3">
        <v>-3</v>
      </c>
      <c r="R12" s="4">
        <v>-0.773</v>
      </c>
    </row>
    <row r="13" ht="18" customHeight="1" spans="1:18">
      <c r="A13" s="3" t="s">
        <v>11</v>
      </c>
      <c r="B13" s="3">
        <v>0.971</v>
      </c>
      <c r="C13" s="3">
        <v>1.001</v>
      </c>
      <c r="D13" s="3">
        <v>1.018</v>
      </c>
      <c r="E13" s="3">
        <v>1.024</v>
      </c>
      <c r="F13" s="3">
        <v>1.026</v>
      </c>
      <c r="G13" s="3">
        <v>1.026</v>
      </c>
      <c r="H13" s="3">
        <v>1.026</v>
      </c>
      <c r="I13" s="3">
        <v>1.025</v>
      </c>
      <c r="J13" s="3">
        <v>1.021</v>
      </c>
      <c r="K13" s="3">
        <v>1.006</v>
      </c>
      <c r="L13" s="3">
        <v>0.979</v>
      </c>
      <c r="N13" s="3">
        <v>60</v>
      </c>
      <c r="O13" s="3">
        <v>0.538</v>
      </c>
      <c r="Q13" s="3">
        <v>-4</v>
      </c>
      <c r="R13" s="4">
        <v>-1.017</v>
      </c>
    </row>
    <row r="14" ht="18" customHeight="1" spans="1:18">
      <c r="A14" s="3" t="s">
        <v>12</v>
      </c>
      <c r="B14" s="3">
        <f>(B13-0.00331)/0.25246</f>
        <v>3.83304285827458</v>
      </c>
      <c r="C14" s="3">
        <f t="shared" ref="C14:L14" si="1">(C13-0.00331)/0.25246</f>
        <v>3.95187356412897</v>
      </c>
      <c r="D14" s="3">
        <f t="shared" si="1"/>
        <v>4.01921096411313</v>
      </c>
      <c r="E14" s="3">
        <f t="shared" si="1"/>
        <v>4.04297710528401</v>
      </c>
      <c r="F14" s="3">
        <f t="shared" si="1"/>
        <v>4.05089915234096</v>
      </c>
      <c r="G14" s="3">
        <f t="shared" si="1"/>
        <v>4.05089915234096</v>
      </c>
      <c r="H14" s="3">
        <f t="shared" si="1"/>
        <v>4.05089915234096</v>
      </c>
      <c r="I14" s="3">
        <f t="shared" si="1"/>
        <v>4.04693812881249</v>
      </c>
      <c r="J14" s="3">
        <f t="shared" si="1"/>
        <v>4.03109403469857</v>
      </c>
      <c r="K14" s="3">
        <f t="shared" si="1"/>
        <v>3.97167868177137</v>
      </c>
      <c r="L14" s="3">
        <f t="shared" si="1"/>
        <v>3.86473104650242</v>
      </c>
      <c r="N14" s="3">
        <v>70</v>
      </c>
      <c r="O14" s="3">
        <v>0.371</v>
      </c>
      <c r="Q14" s="3">
        <v>-5</v>
      </c>
      <c r="R14" s="4">
        <v>-1.257</v>
      </c>
    </row>
    <row r="15" ht="18" customHeight="1" spans="1:18">
      <c r="A15" s="3" t="s">
        <v>13</v>
      </c>
      <c r="B15" s="10">
        <f>(B14-B12)/B12</f>
        <v>0.0131488807267904</v>
      </c>
      <c r="C15" s="10">
        <f t="shared" ref="C15:L15" si="2">(C14-C12)/C12</f>
        <v>0.0129098726568511</v>
      </c>
      <c r="D15" s="10">
        <f t="shared" si="2"/>
        <v>0.0133551815674818</v>
      </c>
      <c r="E15" s="10">
        <f t="shared" si="2"/>
        <v>0.0125298711500557</v>
      </c>
      <c r="F15" s="10">
        <f t="shared" si="2"/>
        <v>0.0128401934511993</v>
      </c>
      <c r="G15" s="10">
        <f t="shared" si="2"/>
        <v>0.0127247880852412</v>
      </c>
      <c r="H15" s="10">
        <f t="shared" si="2"/>
        <v>0.0128401934511993</v>
      </c>
      <c r="I15" s="10">
        <f t="shared" si="2"/>
        <v>0.013521876431924</v>
      </c>
      <c r="J15" s="10">
        <f t="shared" si="2"/>
        <v>0.0163512350859972</v>
      </c>
      <c r="K15" s="10">
        <f t="shared" si="2"/>
        <v>0.0179861482166786</v>
      </c>
      <c r="L15" s="10">
        <f t="shared" si="2"/>
        <v>0.0215246943094607</v>
      </c>
      <c r="N15" s="3">
        <v>80</v>
      </c>
      <c r="O15" s="3">
        <v>0.194</v>
      </c>
      <c r="Q15" s="3">
        <v>-6</v>
      </c>
      <c r="R15" s="4">
        <v>-1.482</v>
      </c>
    </row>
    <row r="16" ht="18" customHeight="1" spans="1:18">
      <c r="N16" s="3">
        <v>90</v>
      </c>
      <c r="O16" s="3">
        <v>0.002</v>
      </c>
    </row>
    <row r="17" ht="18" customHeight="1" spans="1:28">
      <c r="A17" s="11" t="s">
        <v>14</v>
      </c>
      <c r="B17" s="11"/>
      <c r="C17" s="11"/>
      <c r="D17" s="11"/>
      <c r="E17" s="11"/>
      <c r="Q17" s="12" t="s">
        <v>15</v>
      </c>
      <c r="R17" s="12">
        <f>0.25246*10^(3)/250</f>
        <v>1.00984</v>
      </c>
    </row>
    <row r="18" ht="18" customHeight="1" spans="1:28">
      <c r="A18" s="13" t="s">
        <v>16</v>
      </c>
      <c r="B18" s="3">
        <v>0</v>
      </c>
      <c r="C18" s="19" t="s">
        <v>17</v>
      </c>
      <c r="D18" s="3" t="s">
        <v>18</v>
      </c>
      <c r="E18" s="3" t="s">
        <v>19</v>
      </c>
      <c r="F18" s="3" t="s">
        <v>20</v>
      </c>
      <c r="G18" s="3" t="s">
        <v>21</v>
      </c>
      <c r="H18" s="3" t="s">
        <v>22</v>
      </c>
      <c r="K18" s="9">
        <v>-0.5</v>
      </c>
      <c r="L18" s="3">
        <v>3.78329674067736</v>
      </c>
      <c r="M18" s="3">
        <v>3.83304285827458</v>
      </c>
    </row>
    <row r="19" ht="18" customHeight="1" spans="1:28">
      <c r="A19" s="3">
        <v>0</v>
      </c>
      <c r="B19" s="14">
        <v>1.024</v>
      </c>
      <c r="C19" s="3">
        <v>1.023</v>
      </c>
      <c r="D19" s="3">
        <v>1.023</v>
      </c>
      <c r="E19" s="3">
        <v>1.023</v>
      </c>
      <c r="F19" s="14">
        <v>1.022</v>
      </c>
      <c r="G19" s="3">
        <v>1.02</v>
      </c>
      <c r="H19" s="3">
        <v>1.019</v>
      </c>
      <c r="K19" s="9">
        <v>-0.4</v>
      </c>
      <c r="L19" s="3">
        <v>3.90150562336139</v>
      </c>
      <c r="M19" s="3">
        <v>3.95187356412897</v>
      </c>
    </row>
    <row r="20" ht="18" customHeight="1" spans="1:28">
      <c r="A20" s="3" t="s">
        <v>17</v>
      </c>
      <c r="B20" s="14">
        <v>1.023</v>
      </c>
      <c r="C20" s="3">
        <v>1.023</v>
      </c>
      <c r="D20" s="3">
        <v>1.023</v>
      </c>
      <c r="E20" s="3">
        <v>1.023</v>
      </c>
      <c r="F20" s="14">
        <v>1.022</v>
      </c>
      <c r="G20" s="3">
        <v>1.021</v>
      </c>
      <c r="H20" s="3">
        <v>1.019</v>
      </c>
      <c r="K20" s="9">
        <v>-0.3</v>
      </c>
      <c r="L20" s="3">
        <v>3.96624109416021</v>
      </c>
      <c r="M20" s="3">
        <v>4.01921096411313</v>
      </c>
      <c r="P20" s="3">
        <v>-42</v>
      </c>
      <c r="Q20" s="3">
        <v>-35</v>
      </c>
      <c r="R20" s="3">
        <v>-28</v>
      </c>
      <c r="S20" s="3">
        <v>-21</v>
      </c>
      <c r="T20" s="3">
        <v>-14</v>
      </c>
      <c r="U20" s="3">
        <v>-7</v>
      </c>
      <c r="V20" s="3">
        <v>0</v>
      </c>
      <c r="W20" s="3">
        <v>7</v>
      </c>
      <c r="X20" s="3">
        <v>14</v>
      </c>
      <c r="Y20" s="3">
        <v>21</v>
      </c>
      <c r="Z20" s="3">
        <v>28</v>
      </c>
      <c r="AA20" s="3">
        <v>35</v>
      </c>
      <c r="AB20" s="3">
        <v>42</v>
      </c>
    </row>
    <row r="21" ht="18" customHeight="1" spans="1:28">
      <c r="A21" s="3" t="s">
        <v>18</v>
      </c>
      <c r="B21" s="14">
        <v>1.023</v>
      </c>
      <c r="C21" s="3">
        <v>1.023</v>
      </c>
      <c r="D21" s="3">
        <v>1.024</v>
      </c>
      <c r="E21" s="3">
        <v>1.024</v>
      </c>
      <c r="F21" s="3">
        <v>1.024</v>
      </c>
      <c r="G21" s="3">
        <v>1.023</v>
      </c>
      <c r="H21" s="3">
        <v>1.021</v>
      </c>
      <c r="K21" s="9">
        <v>-0.2</v>
      </c>
      <c r="L21" s="3">
        <v>3.99294600631574</v>
      </c>
      <c r="M21" s="3">
        <v>4.04297710528401</v>
      </c>
      <c r="O21" s="3">
        <v>-42</v>
      </c>
      <c r="P21" s="15">
        <v>4.11031450526816</v>
      </c>
      <c r="Q21" s="15">
        <v>4.09447041115424</v>
      </c>
      <c r="R21" s="15">
        <v>4.07862631704032</v>
      </c>
      <c r="S21" s="15">
        <v>4.05882119939792</v>
      </c>
      <c r="T21" s="15">
        <v>4.04297710528401</v>
      </c>
      <c r="U21" s="15">
        <v>4.03109403469857</v>
      </c>
      <c r="V21" s="15">
        <v>4.02713301117009</v>
      </c>
      <c r="W21" s="15">
        <v>4.03109403469857</v>
      </c>
      <c r="X21" s="15">
        <v>4.04297710528401</v>
      </c>
      <c r="Y21" s="15">
        <v>4.05882119939792</v>
      </c>
      <c r="Z21" s="15">
        <v>4.07862631704032</v>
      </c>
      <c r="AA21" s="15">
        <v>4.09447041115424</v>
      </c>
      <c r="AB21" s="15">
        <v>4.11031450526816</v>
      </c>
    </row>
    <row r="22" ht="18" customHeight="1" spans="1:28">
      <c r="A22" s="3" t="s">
        <v>19</v>
      </c>
      <c r="B22" s="14">
        <v>1.023</v>
      </c>
      <c r="C22" s="3">
        <v>1.023</v>
      </c>
      <c r="D22" s="3">
        <v>1.024</v>
      </c>
      <c r="E22" s="3">
        <v>1.025</v>
      </c>
      <c r="F22" s="3">
        <v>1.025</v>
      </c>
      <c r="G22" s="3">
        <v>1.025</v>
      </c>
      <c r="H22" s="3">
        <v>1.025</v>
      </c>
      <c r="K22" s="9">
        <v>-0.1</v>
      </c>
      <c r="L22" s="3">
        <v>3.99954423070212</v>
      </c>
      <c r="M22" s="3">
        <v>4.05089915234096</v>
      </c>
      <c r="O22" s="3">
        <v>-35</v>
      </c>
      <c r="P22" s="15">
        <v>4.0825873405688</v>
      </c>
      <c r="Q22" s="15">
        <v>4.07862631704032</v>
      </c>
      <c r="R22" s="15">
        <v>4.07070426998336</v>
      </c>
      <c r="S22" s="15">
        <v>4.05882119939792</v>
      </c>
      <c r="T22" s="15">
        <v>4.04693812881249</v>
      </c>
      <c r="U22" s="15">
        <v>4.04297710528401</v>
      </c>
      <c r="V22" s="15">
        <v>4.04297710528401</v>
      </c>
      <c r="W22" s="15">
        <v>4.04297710528401</v>
      </c>
      <c r="X22" s="15">
        <v>4.04693812881249</v>
      </c>
      <c r="Y22" s="15">
        <v>4.05882119939792</v>
      </c>
      <c r="Z22" s="15">
        <v>4.07070426998336</v>
      </c>
      <c r="AA22" s="15">
        <v>4.07862631704032</v>
      </c>
      <c r="AB22" s="15">
        <v>4.0825873405688</v>
      </c>
    </row>
    <row r="23" ht="18" customHeight="1" spans="1:28">
      <c r="A23" s="3" t="s">
        <v>20</v>
      </c>
      <c r="B23" s="14">
        <v>1.023</v>
      </c>
      <c r="C23" s="3">
        <v>1.023</v>
      </c>
      <c r="D23" s="3">
        <v>1.024</v>
      </c>
      <c r="E23" s="3">
        <v>1.026</v>
      </c>
      <c r="F23" s="3">
        <v>1.027</v>
      </c>
      <c r="G23" s="3">
        <v>1.028</v>
      </c>
      <c r="H23" s="3">
        <v>1.029</v>
      </c>
      <c r="K23" s="9">
        <v>0</v>
      </c>
      <c r="L23" s="3">
        <v>4</v>
      </c>
      <c r="M23" s="3">
        <v>4.05089915234096</v>
      </c>
      <c r="O23" s="3">
        <v>-28</v>
      </c>
      <c r="P23" s="15">
        <v>4.0627822229264</v>
      </c>
      <c r="Q23" s="15">
        <v>4.05882119939792</v>
      </c>
      <c r="R23" s="15">
        <v>4.05486017586944</v>
      </c>
      <c r="S23" s="15">
        <v>4.05089915234096</v>
      </c>
      <c r="T23" s="15">
        <v>4.04297710528401</v>
      </c>
      <c r="U23" s="15">
        <v>4.03901608175553</v>
      </c>
      <c r="V23" s="15">
        <v>4.03901608175553</v>
      </c>
      <c r="W23" s="15">
        <v>4.03901608175553</v>
      </c>
      <c r="X23" s="15">
        <v>4.04297710528401</v>
      </c>
      <c r="Y23" s="15">
        <v>4.05089915234096</v>
      </c>
      <c r="Z23" s="15">
        <v>4.05486017586944</v>
      </c>
      <c r="AA23" s="15">
        <v>4.05882119939792</v>
      </c>
      <c r="AB23" s="15">
        <v>4.0627822229264</v>
      </c>
    </row>
    <row r="24" ht="18" customHeight="1" spans="1:28">
      <c r="A24" s="3" t="s">
        <v>21</v>
      </c>
      <c r="B24" s="14">
        <v>1.024</v>
      </c>
      <c r="C24" s="14">
        <v>1.024</v>
      </c>
      <c r="D24" s="3">
        <v>1.025</v>
      </c>
      <c r="E24" s="3">
        <v>1.028</v>
      </c>
      <c r="F24" s="3">
        <v>1.031</v>
      </c>
      <c r="G24" s="3">
        <v>1.033</v>
      </c>
      <c r="H24" s="3">
        <v>1.034</v>
      </c>
      <c r="K24" s="9">
        <v>0.0999999999999999</v>
      </c>
      <c r="L24" s="3">
        <v>3.99954423070212</v>
      </c>
      <c r="M24" s="3">
        <v>4.05089915234096</v>
      </c>
      <c r="O24" s="3">
        <v>-21</v>
      </c>
      <c r="P24" s="15">
        <v>4.04693812881249</v>
      </c>
      <c r="Q24" s="15">
        <v>4.04693812881249</v>
      </c>
      <c r="R24" s="15">
        <v>4.04693812881249</v>
      </c>
      <c r="S24" s="15">
        <v>4.04693812881249</v>
      </c>
      <c r="T24" s="15">
        <v>4.04297710528401</v>
      </c>
      <c r="U24" s="15">
        <v>4.03901608175553</v>
      </c>
      <c r="V24" s="15">
        <v>4.03901608175553</v>
      </c>
      <c r="W24" s="15">
        <v>4.03901608175553</v>
      </c>
      <c r="X24" s="15">
        <v>4.04297710528401</v>
      </c>
      <c r="Y24" s="15">
        <v>4.04693812881249</v>
      </c>
      <c r="Z24" s="15">
        <v>4.04693812881249</v>
      </c>
      <c r="AA24" s="15">
        <v>4.04693812881249</v>
      </c>
      <c r="AB24" s="15">
        <v>4.04693812881249</v>
      </c>
    </row>
    <row r="25" ht="18" customHeight="1" spans="1:28">
      <c r="A25" s="3" t="s">
        <v>22</v>
      </c>
      <c r="B25" s="14">
        <v>1.02</v>
      </c>
      <c r="C25" s="3">
        <v>1.021</v>
      </c>
      <c r="D25" s="14">
        <v>1.024</v>
      </c>
      <c r="E25" s="3">
        <v>1.028</v>
      </c>
      <c r="F25" s="3">
        <v>1.033</v>
      </c>
      <c r="G25" s="3">
        <v>1.037</v>
      </c>
      <c r="H25" s="3">
        <v>1.041</v>
      </c>
      <c r="K25" s="9">
        <v>0.2</v>
      </c>
      <c r="L25" s="3">
        <v>3.99294600631574</v>
      </c>
      <c r="M25" s="3">
        <v>4.04693812881249</v>
      </c>
      <c r="O25" s="3">
        <v>-14</v>
      </c>
      <c r="P25" s="15">
        <v>4.03109403469857</v>
      </c>
      <c r="Q25" s="15">
        <v>4.03901608175553</v>
      </c>
      <c r="R25" s="15">
        <v>4.04297710528401</v>
      </c>
      <c r="S25" s="15">
        <v>4.04297710528401</v>
      </c>
      <c r="T25" s="15">
        <v>4.04297710528401</v>
      </c>
      <c r="U25" s="15">
        <v>4.03901608175553</v>
      </c>
      <c r="V25" s="15">
        <v>4.03901608175553</v>
      </c>
      <c r="W25" s="15">
        <v>4.03901608175553</v>
      </c>
      <c r="X25" s="15">
        <v>4.04297710528401</v>
      </c>
      <c r="Y25" s="15">
        <v>4.04297710528401</v>
      </c>
      <c r="Z25" s="15">
        <v>4.04297710528401</v>
      </c>
      <c r="AA25" s="15">
        <v>4.03901608175553</v>
      </c>
      <c r="AB25" s="15">
        <v>4.03109403469857</v>
      </c>
    </row>
    <row r="26" ht="18" customHeight="1" spans="1:28">
      <c r="K26" s="9">
        <v>0.3</v>
      </c>
      <c r="L26" s="3">
        <v>3.96624109416021</v>
      </c>
      <c r="M26" s="3">
        <v>4.03109403469857</v>
      </c>
      <c r="O26" s="3">
        <v>-7</v>
      </c>
      <c r="P26" s="15">
        <v>4.02317198764161</v>
      </c>
      <c r="Q26" s="15">
        <v>4.03109403469857</v>
      </c>
      <c r="R26" s="15">
        <v>4.03505505822705</v>
      </c>
      <c r="S26" s="15">
        <v>4.03901608175553</v>
      </c>
      <c r="T26" s="15">
        <v>4.03901608175553</v>
      </c>
      <c r="U26" s="15">
        <v>4.03901608175553</v>
      </c>
      <c r="V26" s="15">
        <v>4.03901608175553</v>
      </c>
      <c r="W26" s="15">
        <v>4.03901608175553</v>
      </c>
      <c r="X26" s="15">
        <v>4.03901608175553</v>
      </c>
      <c r="Y26" s="15">
        <v>4.03901608175553</v>
      </c>
      <c r="Z26" s="15">
        <v>4.03505505822705</v>
      </c>
      <c r="AA26" s="15">
        <v>4.03109403469857</v>
      </c>
      <c r="AB26" s="15">
        <v>4.02317198764161</v>
      </c>
    </row>
    <row r="27" ht="18" customHeight="1" spans="1:28">
      <c r="A27" s="11" t="s">
        <v>23</v>
      </c>
      <c r="B27" s="11"/>
      <c r="C27" s="11"/>
      <c r="D27" s="11"/>
      <c r="E27" s="11"/>
      <c r="K27" s="9">
        <v>0.4</v>
      </c>
      <c r="L27" s="3">
        <v>3.90150562336139</v>
      </c>
      <c r="M27" s="3">
        <v>3.97167868177137</v>
      </c>
      <c r="O27" s="3">
        <v>0</v>
      </c>
      <c r="P27" s="15">
        <v>4.02317198764161</v>
      </c>
      <c r="Q27" s="15">
        <v>4.02713301117009</v>
      </c>
      <c r="R27" s="15">
        <v>4.03505505822705</v>
      </c>
      <c r="S27" s="15">
        <v>4.03901608175553</v>
      </c>
      <c r="T27" s="15">
        <v>4.03901608175553</v>
      </c>
      <c r="U27" s="15">
        <v>4.03901608175553</v>
      </c>
      <c r="V27" s="15">
        <v>4.04297710528401</v>
      </c>
      <c r="W27" s="15">
        <v>4.03901608175553</v>
      </c>
      <c r="X27" s="15">
        <v>4.03901608175553</v>
      </c>
      <c r="Y27" s="15">
        <v>4.03901608175553</v>
      </c>
      <c r="Z27" s="15">
        <v>4.03505505822705</v>
      </c>
      <c r="AA27" s="15">
        <v>4.02713301117009</v>
      </c>
      <c r="AB27" s="15">
        <v>4.02317198764161</v>
      </c>
    </row>
    <row r="28" ht="18" customHeight="1" spans="1:28">
      <c r="A28" s="13" t="s">
        <v>24</v>
      </c>
      <c r="B28" s="3">
        <v>0</v>
      </c>
      <c r="C28" s="3">
        <v>7</v>
      </c>
      <c r="D28" s="3">
        <v>14</v>
      </c>
      <c r="E28" s="3">
        <v>21</v>
      </c>
      <c r="F28" s="3">
        <v>28</v>
      </c>
      <c r="G28" s="3">
        <v>35</v>
      </c>
      <c r="H28" s="3">
        <v>42</v>
      </c>
      <c r="K28" s="9">
        <v>0.5</v>
      </c>
      <c r="L28" s="3">
        <v>3.78329674067736</v>
      </c>
      <c r="M28" s="3">
        <v>3.86473104650242</v>
      </c>
      <c r="O28" s="3">
        <v>7</v>
      </c>
      <c r="P28" s="15">
        <v>4.02317198764161</v>
      </c>
      <c r="Q28" s="15">
        <v>4.03109403469857</v>
      </c>
      <c r="R28" s="15">
        <v>4.03505505822705</v>
      </c>
      <c r="S28" s="15">
        <v>4.03901608175553</v>
      </c>
      <c r="T28" s="15">
        <v>4.03901608175553</v>
      </c>
      <c r="U28" s="15">
        <v>4.03901608175553</v>
      </c>
      <c r="V28" s="15">
        <v>4.03901608175553</v>
      </c>
      <c r="W28" s="15">
        <v>4.03901608175553</v>
      </c>
      <c r="X28" s="15">
        <v>4.03901608175553</v>
      </c>
      <c r="Y28" s="15">
        <v>4.03901608175553</v>
      </c>
      <c r="Z28" s="15">
        <v>4.03505505822705</v>
      </c>
      <c r="AA28" s="15">
        <v>4.03109403469857</v>
      </c>
      <c r="AB28" s="15">
        <v>4.02317198764161</v>
      </c>
    </row>
    <row r="29" ht="18" customHeight="1" spans="1:28">
      <c r="A29" s="3">
        <v>0</v>
      </c>
      <c r="B29" s="16">
        <f>(B19-0.00331)/0.25246</f>
        <v>4.04297710528401</v>
      </c>
      <c r="C29" s="16">
        <f t="shared" ref="C29:H29" si="3">(C19-0.00331)/0.25246</f>
        <v>4.03901608175553</v>
      </c>
      <c r="D29" s="16">
        <f t="shared" si="3"/>
        <v>4.03901608175553</v>
      </c>
      <c r="E29" s="16">
        <f t="shared" si="3"/>
        <v>4.03901608175553</v>
      </c>
      <c r="F29" s="16">
        <f t="shared" si="3"/>
        <v>4.03505505822705</v>
      </c>
      <c r="G29" s="16">
        <f t="shared" si="3"/>
        <v>4.02713301117009</v>
      </c>
      <c r="H29" s="16">
        <f t="shared" si="3"/>
        <v>4.02317198764161</v>
      </c>
      <c r="O29" s="3">
        <v>14</v>
      </c>
      <c r="P29" s="15">
        <v>4.03109403469857</v>
      </c>
      <c r="Q29" s="15">
        <v>4.03901608175553</v>
      </c>
      <c r="R29" s="15">
        <v>4.04297710528401</v>
      </c>
      <c r="S29" s="15">
        <v>4.04297710528401</v>
      </c>
      <c r="T29" s="15">
        <v>4.04297710528401</v>
      </c>
      <c r="U29" s="15">
        <v>4.03901608175553</v>
      </c>
      <c r="V29" s="15">
        <v>4.03901608175553</v>
      </c>
      <c r="W29" s="15">
        <v>4.03901608175553</v>
      </c>
      <c r="X29" s="15">
        <v>4.04297710528401</v>
      </c>
      <c r="Y29" s="15">
        <v>4.04297710528401</v>
      </c>
      <c r="Z29" s="15">
        <v>4.04297710528401</v>
      </c>
      <c r="AA29" s="15">
        <v>4.03901608175553</v>
      </c>
      <c r="AB29" s="15">
        <v>4.03109403469857</v>
      </c>
    </row>
    <row r="30" ht="18" customHeight="1" spans="1:28">
      <c r="A30" s="3">
        <v>7</v>
      </c>
      <c r="B30" s="16">
        <f>(B20-0.00331)/0.25246</f>
        <v>4.03901608175553</v>
      </c>
      <c r="C30" s="16">
        <f>(C20-0.00331)/0.25246</f>
        <v>4.03901608175553</v>
      </c>
      <c r="D30" s="16">
        <f t="shared" ref="D30:D35" si="4">(D20-0.00331)/0.25246</f>
        <v>4.03901608175553</v>
      </c>
      <c r="E30" s="16">
        <f t="shared" ref="E30:E35" si="5">(E20-0.00331)/0.25246</f>
        <v>4.03901608175553</v>
      </c>
      <c r="F30" s="16">
        <f t="shared" ref="F30:F35" si="6">(F20-0.00331)/0.25246</f>
        <v>4.03505505822705</v>
      </c>
      <c r="G30" s="16">
        <f t="shared" ref="G30:G35" si="7">(G20-0.00331)/0.25246</f>
        <v>4.03109403469857</v>
      </c>
      <c r="H30" s="16">
        <f t="shared" ref="H30:H35" si="8">(H20-0.00331)/0.25246</f>
        <v>4.02317198764161</v>
      </c>
      <c r="O30" s="3">
        <v>21</v>
      </c>
      <c r="P30" s="15">
        <v>4.04693812881249</v>
      </c>
      <c r="Q30" s="15">
        <v>4.04693812881249</v>
      </c>
      <c r="R30" s="15">
        <v>4.04693812881249</v>
      </c>
      <c r="S30" s="15">
        <v>4.04693812881249</v>
      </c>
      <c r="T30" s="15">
        <v>4.04297710528401</v>
      </c>
      <c r="U30" s="15">
        <v>4.03901608175553</v>
      </c>
      <c r="V30" s="15">
        <v>4.03901608175553</v>
      </c>
      <c r="W30" s="15">
        <v>4.03901608175553</v>
      </c>
      <c r="X30" s="15">
        <v>4.04297710528401</v>
      </c>
      <c r="Y30" s="15">
        <v>4.04693812881249</v>
      </c>
      <c r="Z30" s="15">
        <v>4.04693812881249</v>
      </c>
      <c r="AA30" s="15">
        <v>4.04693812881249</v>
      </c>
      <c r="AB30" s="15">
        <v>4.04693812881249</v>
      </c>
    </row>
    <row r="31" ht="18" customHeight="1" spans="1:28">
      <c r="A31" s="3">
        <v>14</v>
      </c>
      <c r="B31" s="16">
        <f t="shared" ref="B30:B35" si="9">(B21-0.00331)/0.25246</f>
        <v>4.03901608175553</v>
      </c>
      <c r="C31" s="16">
        <f t="shared" ref="C30:C35" si="10">(C21-0.00331)/0.25246</f>
        <v>4.03901608175553</v>
      </c>
      <c r="D31" s="16">
        <f t="shared" si="4"/>
        <v>4.04297710528401</v>
      </c>
      <c r="E31" s="16">
        <f t="shared" si="5"/>
        <v>4.04297710528401</v>
      </c>
      <c r="F31" s="16">
        <f t="shared" si="6"/>
        <v>4.04297710528401</v>
      </c>
      <c r="G31" s="16">
        <f t="shared" si="7"/>
        <v>4.03901608175553</v>
      </c>
      <c r="H31" s="16">
        <f t="shared" si="8"/>
        <v>4.03109403469857</v>
      </c>
      <c r="O31" s="3">
        <v>28</v>
      </c>
      <c r="P31" s="15">
        <v>4.0627822229264</v>
      </c>
      <c r="Q31" s="15">
        <v>4.05882119939792</v>
      </c>
      <c r="R31" s="15">
        <v>4.05486017586944</v>
      </c>
      <c r="S31" s="15">
        <v>4.05089915234096</v>
      </c>
      <c r="T31" s="15">
        <v>4.04297710528401</v>
      </c>
      <c r="U31" s="15">
        <v>4.03901608175553</v>
      </c>
      <c r="V31" s="15">
        <v>4.03901608175553</v>
      </c>
      <c r="W31" s="15">
        <v>4.03901608175553</v>
      </c>
      <c r="X31" s="15">
        <v>4.04297710528401</v>
      </c>
      <c r="Y31" s="15">
        <v>4.05089915234096</v>
      </c>
      <c r="Z31" s="15">
        <v>4.05486017586944</v>
      </c>
      <c r="AA31" s="15">
        <v>4.05882119939792</v>
      </c>
      <c r="AB31" s="15">
        <v>4.0627822229264</v>
      </c>
    </row>
    <row r="32" ht="18" customHeight="1" spans="1:28">
      <c r="A32" s="3">
        <v>21</v>
      </c>
      <c r="B32" s="16">
        <f t="shared" si="9"/>
        <v>4.03901608175553</v>
      </c>
      <c r="C32" s="16">
        <f t="shared" si="10"/>
        <v>4.03901608175553</v>
      </c>
      <c r="D32" s="16">
        <f t="shared" si="4"/>
        <v>4.04297710528401</v>
      </c>
      <c r="E32" s="16">
        <f t="shared" si="5"/>
        <v>4.04693812881249</v>
      </c>
      <c r="F32" s="16">
        <f t="shared" si="6"/>
        <v>4.04693812881249</v>
      </c>
      <c r="G32" s="16">
        <f t="shared" si="7"/>
        <v>4.04693812881249</v>
      </c>
      <c r="H32" s="16">
        <f t="shared" si="8"/>
        <v>4.04693812881249</v>
      </c>
      <c r="O32" s="3">
        <v>35</v>
      </c>
      <c r="P32" s="15">
        <v>4.0825873405688</v>
      </c>
      <c r="Q32" s="15">
        <v>4.07862631704032</v>
      </c>
      <c r="R32" s="15">
        <v>4.07070426998336</v>
      </c>
      <c r="S32" s="15">
        <v>4.05882119939792</v>
      </c>
      <c r="T32" s="15">
        <v>4.04693812881249</v>
      </c>
      <c r="U32" s="15">
        <v>4.04297710528401</v>
      </c>
      <c r="V32" s="15">
        <v>4.04297710528401</v>
      </c>
      <c r="W32" s="15">
        <v>4.04297710528401</v>
      </c>
      <c r="X32" s="15">
        <v>4.04693812881249</v>
      </c>
      <c r="Y32" s="15">
        <v>4.05882119939792</v>
      </c>
      <c r="Z32" s="15">
        <v>4.07070426998336</v>
      </c>
      <c r="AA32" s="15">
        <v>4.07862631704032</v>
      </c>
      <c r="AB32" s="15">
        <v>4.0825873405688</v>
      </c>
    </row>
    <row r="33" ht="18" customHeight="1" spans="1:30">
      <c r="A33" s="3">
        <v>28</v>
      </c>
      <c r="B33" s="16">
        <f t="shared" si="9"/>
        <v>4.03901608175553</v>
      </c>
      <c r="C33" s="16">
        <f t="shared" si="10"/>
        <v>4.03901608175553</v>
      </c>
      <c r="D33" s="16">
        <f t="shared" si="4"/>
        <v>4.04297710528401</v>
      </c>
      <c r="E33" s="16">
        <f t="shared" si="5"/>
        <v>4.05089915234096</v>
      </c>
      <c r="F33" s="16">
        <f t="shared" si="6"/>
        <v>4.05486017586944</v>
      </c>
      <c r="G33" s="16">
        <f t="shared" si="7"/>
        <v>4.05882119939792</v>
      </c>
      <c r="H33" s="16">
        <f t="shared" si="8"/>
        <v>4.0627822229264</v>
      </c>
      <c r="O33" s="3">
        <v>42</v>
      </c>
      <c r="P33" s="15">
        <v>4.11031450526816</v>
      </c>
      <c r="Q33" s="15">
        <v>4.09447041115424</v>
      </c>
      <c r="R33" s="15">
        <v>4.07862631704032</v>
      </c>
      <c r="S33" s="15">
        <v>4.05882119939792</v>
      </c>
      <c r="T33" s="15">
        <v>4.04297710528401</v>
      </c>
      <c r="U33" s="15">
        <v>4.03109403469857</v>
      </c>
      <c r="V33" s="15">
        <v>4.02713301117009</v>
      </c>
      <c r="W33" s="15">
        <v>4.03109403469857</v>
      </c>
      <c r="X33" s="15">
        <v>4.04297710528401</v>
      </c>
      <c r="Y33" s="15">
        <v>4.05882119939792</v>
      </c>
      <c r="Z33" s="15">
        <v>4.07862631704032</v>
      </c>
      <c r="AA33" s="15">
        <v>4.09447041115424</v>
      </c>
      <c r="AB33" s="15">
        <v>4.11031450526816</v>
      </c>
    </row>
    <row r="34" ht="18" customHeight="1" spans="1:30">
      <c r="A34" s="3">
        <v>35</v>
      </c>
      <c r="B34" s="16">
        <f t="shared" si="9"/>
        <v>4.04297710528401</v>
      </c>
      <c r="C34" s="16">
        <f t="shared" si="10"/>
        <v>4.04297710528401</v>
      </c>
      <c r="D34" s="16">
        <f t="shared" si="4"/>
        <v>4.04693812881249</v>
      </c>
      <c r="E34" s="16">
        <f t="shared" si="5"/>
        <v>4.05882119939792</v>
      </c>
      <c r="F34" s="16">
        <f t="shared" si="6"/>
        <v>4.07070426998336</v>
      </c>
      <c r="G34" s="16">
        <f t="shared" si="7"/>
        <v>4.07862631704032</v>
      </c>
      <c r="H34" s="16">
        <f t="shared" si="8"/>
        <v>4.0825873405688</v>
      </c>
    </row>
    <row r="35" ht="18" customHeight="1" spans="1:30">
      <c r="A35" s="3">
        <v>42</v>
      </c>
      <c r="B35" s="16">
        <f t="shared" si="9"/>
        <v>4.02713301117009</v>
      </c>
      <c r="C35" s="16">
        <f t="shared" si="10"/>
        <v>4.03109403469857</v>
      </c>
      <c r="D35" s="16">
        <f t="shared" si="4"/>
        <v>4.04297710528401</v>
      </c>
      <c r="E35" s="16">
        <f t="shared" si="5"/>
        <v>4.05882119939792</v>
      </c>
      <c r="F35" s="16">
        <f t="shared" si="6"/>
        <v>4.07862631704032</v>
      </c>
      <c r="G35" s="16">
        <f t="shared" si="7"/>
        <v>4.09447041115424</v>
      </c>
      <c r="H35" s="16">
        <f t="shared" si="8"/>
        <v>4.11031450526816</v>
      </c>
    </row>
    <row r="36" ht="18" customHeight="1" spans="1:30">
      <c r="A36" s="8"/>
      <c r="B36" s="8"/>
      <c r="C36" s="8"/>
      <c r="D36" s="8"/>
      <c r="E36" s="8"/>
      <c r="F36" s="17" t="s">
        <v>25</v>
      </c>
      <c r="G36" s="17"/>
      <c r="H36" s="17"/>
    </row>
    <row r="37" ht="18" customHeight="1" spans="1:30">
      <c r="A37" s="18" t="s">
        <v>26</v>
      </c>
    </row>
    <row r="38" ht="18" customHeight="1" spans="1:30">
      <c r="A38" s="3" t="s">
        <v>27</v>
      </c>
      <c r="B38" s="3">
        <v>46</v>
      </c>
      <c r="L38" s="15"/>
    </row>
    <row r="39" ht="18" customHeight="1" spans="1:30">
      <c r="A39" s="3" t="s">
        <v>28</v>
      </c>
      <c r="B39" s="3">
        <v>0.177</v>
      </c>
      <c r="L39" s="15"/>
      <c r="Y39" s="15"/>
      <c r="Z39" s="15"/>
      <c r="AA39" s="15"/>
      <c r="AB39" s="15"/>
      <c r="AC39" s="15"/>
      <c r="AD39" s="15"/>
    </row>
    <row r="40" ht="18" customHeight="1" spans="1:30">
      <c r="A40" s="3" t="s">
        <v>29</v>
      </c>
      <c r="B40" s="3">
        <v>-0.047</v>
      </c>
      <c r="L40" s="15"/>
      <c r="Y40" s="15"/>
      <c r="Z40" s="15"/>
      <c r="AA40" s="15"/>
      <c r="AB40" s="15"/>
      <c r="AC40" s="15"/>
      <c r="AD40" s="15"/>
    </row>
    <row r="41" ht="18" customHeight="1" spans="1:30">
      <c r="A41" s="3" t="s">
        <v>30</v>
      </c>
      <c r="B41" s="3">
        <v>0.112</v>
      </c>
      <c r="L41" s="15"/>
      <c r="Y41" s="15"/>
      <c r="Z41" s="15"/>
      <c r="AA41" s="15"/>
      <c r="AB41" s="15"/>
      <c r="AC41" s="15"/>
      <c r="AD41" s="15"/>
    </row>
    <row r="42" ht="18" customHeight="1" spans="1:30">
      <c r="A42" s="3" t="s">
        <v>31</v>
      </c>
      <c r="B42" s="3"/>
      <c r="L42" s="15"/>
      <c r="Y42" s="15"/>
      <c r="Z42" s="15"/>
      <c r="AA42" s="15"/>
      <c r="AB42" s="15"/>
      <c r="AC42" s="15"/>
      <c r="AD42" s="15"/>
    </row>
    <row r="43" ht="18" customHeight="1" spans="1:30">
      <c r="L43" s="15"/>
      <c r="Y43" s="15"/>
      <c r="Z43" s="15"/>
      <c r="AA43" s="15"/>
      <c r="AB43" s="15"/>
      <c r="AC43" s="15"/>
      <c r="AD43" s="15"/>
    </row>
    <row r="44" ht="18" customHeight="1" spans="1:30">
      <c r="L44" s="15"/>
      <c r="Y44" s="15"/>
      <c r="Z44" s="15"/>
      <c r="AA44" s="15"/>
      <c r="AB44" s="15"/>
      <c r="AC44" s="15"/>
      <c r="AD44" s="15"/>
    </row>
    <row r="45" ht="18" customHeight="1" spans="1:30">
      <c r="L45" s="15"/>
      <c r="Y45" s="15"/>
      <c r="Z45" s="15"/>
      <c r="AA45" s="15"/>
      <c r="AB45" s="15"/>
      <c r="AC45" s="15"/>
      <c r="AD45" s="15"/>
    </row>
    <row r="46" ht="18" customHeight="1" spans="1:30">
      <c r="L46" s="15"/>
    </row>
    <row r="47" ht="18" customHeight="1" spans="1:30">
      <c r="L47" s="15"/>
    </row>
    <row r="48" ht="18" customHeight="1" spans="1:30">
      <c r="L48" s="15"/>
    </row>
    <row r="49" ht="18" customHeight="1" spans="12:12">
      <c r="L49" s="15"/>
    </row>
    <row r="50" ht="18" customHeight="1" spans="12:12">
      <c r="L50" s="15"/>
    </row>
    <row r="51" ht="18" customHeight="1" spans="12:12">
      <c r="L51" s="15"/>
    </row>
    <row r="52" ht="18" customHeight="1" spans="12:12">
      <c r="L52" s="15"/>
    </row>
    <row r="53" ht="18" customHeight="1" spans="12:12">
      <c r="L53" s="15"/>
    </row>
    <row r="54" ht="18" customHeight="1" spans="12:12">
      <c r="L54" s="15"/>
    </row>
    <row r="55" ht="18" customHeight="1" spans="12:12">
      <c r="L55" s="15"/>
    </row>
    <row r="56" ht="18" customHeight="1" spans="12:12">
      <c r="L56" s="15"/>
    </row>
    <row r="57" ht="18" customHeight="1" spans="12:12">
      <c r="L57" s="15"/>
    </row>
    <row r="58" ht="18" customHeight="1" spans="12:12">
      <c r="L58" s="15"/>
    </row>
    <row r="59" ht="18" customHeight="1" spans="12:12">
      <c r="L59" s="15"/>
    </row>
    <row r="60" ht="18" customHeight="1" spans="12:12">
      <c r="L60" s="15"/>
    </row>
    <row r="61" ht="18" customHeight="1" spans="12:12">
      <c r="L61" s="15"/>
    </row>
    <row r="62" ht="18" customHeight="1" spans="12:12">
      <c r="L62" s="15"/>
    </row>
    <row r="63" ht="18" customHeight="1" spans="12:12">
      <c r="L63" s="15"/>
    </row>
    <row r="64" ht="18" customHeight="1" spans="12:12">
      <c r="L64" s="15"/>
    </row>
    <row r="65" ht="18" customHeight="1" spans="12:12">
      <c r="L65" s="15"/>
    </row>
    <row r="66" ht="18" customHeight="1" spans="12:12">
      <c r="L66" s="15"/>
    </row>
    <row r="67" ht="18" customHeight="1" spans="12:12">
      <c r="L67" s="15"/>
    </row>
    <row r="68" ht="18" customHeight="1" spans="12:12">
      <c r="L68" s="15"/>
    </row>
    <row r="69" ht="18" customHeight="1" spans="12:12">
      <c r="L69" s="15"/>
    </row>
    <row r="70" ht="18" customHeight="1" spans="12:12">
      <c r="L70" s="15"/>
    </row>
    <row r="71" ht="18" customHeight="1" spans="12:12">
      <c r="L71" s="15"/>
    </row>
    <row r="72" ht="18" customHeight="1" spans="12:12">
      <c r="L72" s="15"/>
    </row>
    <row r="73" ht="18" customHeight="1" spans="12:12">
      <c r="L73" s="15"/>
    </row>
    <row r="74" ht="18" customHeight="1" spans="12:12">
      <c r="L74" s="15"/>
    </row>
    <row r="75" ht="18" customHeight="1" spans="12:12">
      <c r="L75" s="15"/>
    </row>
    <row r="76" ht="18" customHeight="1" spans="12:12">
      <c r="L76" s="15"/>
    </row>
    <row r="77" ht="18" customHeight="1" spans="12:12">
      <c r="L77" s="15"/>
    </row>
    <row r="78" ht="18" customHeight="1" spans="12:12">
      <c r="L78" s="15"/>
    </row>
    <row r="79" ht="18" customHeight="1" spans="12:12">
      <c r="L79" s="15"/>
    </row>
    <row r="80" ht="18" customHeight="1" spans="12:12">
      <c r="L80" s="15"/>
    </row>
    <row r="81" ht="18" customHeight="1" spans="12:12">
      <c r="L81" s="15"/>
    </row>
    <row r="82" ht="18" customHeight="1" spans="12:12">
      <c r="L82" s="15"/>
    </row>
    <row r="83" ht="18" customHeight="1" spans="12:12">
      <c r="L83" s="15"/>
    </row>
    <row r="84" ht="18" customHeight="1" spans="12:12">
      <c r="L84" s="15"/>
    </row>
    <row r="85" ht="18" customHeight="1" spans="12:12">
      <c r="L85" s="15"/>
    </row>
    <row r="86" ht="18" customHeight="1" spans="12:12">
      <c r="L86" s="15"/>
    </row>
    <row r="87" ht="18" customHeight="1" spans="12:12">
      <c r="L87" s="15"/>
    </row>
    <row r="88" ht="18" customHeight="1" spans="12:12">
      <c r="L88" s="15"/>
    </row>
    <row r="89" ht="18" customHeight="1" spans="12:12">
      <c r="L89" s="15"/>
    </row>
    <row r="90" ht="18" customHeight="1" spans="12:12">
      <c r="L90" s="15"/>
    </row>
    <row r="91" ht="18" customHeight="1" spans="12:12">
      <c r="L91" s="15"/>
    </row>
    <row r="92" ht="18" customHeight="1" spans="12:12">
      <c r="L92" s="15"/>
    </row>
    <row r="93" ht="18" customHeight="1" spans="12:12">
      <c r="L93" s="15"/>
    </row>
    <row r="94" ht="18" customHeight="1" spans="12:12">
      <c r="L94" s="15"/>
    </row>
    <row r="95" ht="18" customHeight="1" spans="12:12">
      <c r="L95" s="15"/>
    </row>
    <row r="96" ht="18" customHeight="1" spans="12:12">
      <c r="L96" s="15"/>
    </row>
    <row r="97" ht="18" customHeight="1" spans="12:12">
      <c r="L97" s="15"/>
    </row>
    <row r="98" ht="18" customHeight="1" spans="12:12">
      <c r="L98" s="15"/>
    </row>
    <row r="99" ht="18" customHeight="1" spans="12:12">
      <c r="L99" s="15"/>
    </row>
    <row r="100" ht="18" customHeight="1" spans="12:12">
      <c r="L100" s="15"/>
    </row>
    <row r="101" ht="18" customHeight="1" spans="12:12">
      <c r="L101" s="15"/>
    </row>
    <row r="102" ht="18" customHeight="1" spans="12:12">
      <c r="L102" s="15"/>
    </row>
    <row r="103" ht="18" customHeight="1" spans="12:12">
      <c r="L103" s="15"/>
    </row>
    <row r="104" ht="18" customHeight="1" spans="12:12">
      <c r="L104" s="15"/>
    </row>
    <row r="105" ht="18" customHeight="1" spans="12:12">
      <c r="L105" s="15"/>
    </row>
    <row r="106" ht="18" customHeight="1" spans="12:12">
      <c r="L106" s="15"/>
    </row>
    <row r="107" ht="18" customHeight="1" spans="12:12">
      <c r="L107" s="15"/>
    </row>
    <row r="108" ht="18" customHeight="1" spans="12:12">
      <c r="L108" s="15"/>
    </row>
    <row r="109" ht="18" customHeight="1" spans="12:12">
      <c r="L109" s="15"/>
    </row>
    <row r="110" ht="18" customHeight="1" spans="12:12">
      <c r="L110" s="15"/>
    </row>
    <row r="111" ht="18" customHeight="1" spans="12:12">
      <c r="L111" s="15"/>
    </row>
    <row r="112" ht="18" customHeight="1" spans="12:12">
      <c r="L112" s="15"/>
    </row>
    <row r="113" ht="18" customHeight="1" spans="12:12">
      <c r="L113" s="15"/>
    </row>
    <row r="114" ht="18" customHeight="1" spans="12:12">
      <c r="L114" s="15"/>
    </row>
    <row r="115" ht="18" customHeight="1" spans="12:12">
      <c r="L115" s="15"/>
    </row>
    <row r="116" ht="18" customHeight="1" spans="12:12">
      <c r="L116" s="15"/>
    </row>
    <row r="117" ht="18" customHeight="1" spans="12:12">
      <c r="L117" s="15"/>
    </row>
    <row r="118" ht="18" customHeight="1" spans="12:12">
      <c r="L118" s="15"/>
    </row>
    <row r="119" ht="18" customHeight="1" spans="12:12">
      <c r="L119" s="15"/>
    </row>
    <row r="120" ht="18" customHeight="1" spans="12:12">
      <c r="L120" s="15"/>
    </row>
    <row r="121" ht="18" customHeight="1" spans="12:12">
      <c r="L121" s="15"/>
    </row>
    <row r="122" ht="18" customHeight="1" spans="12:12">
      <c r="L122" s="15"/>
    </row>
    <row r="123" ht="18" customHeight="1" spans="12:12">
      <c r="L123" s="15"/>
    </row>
    <row r="124" ht="18" customHeight="1" spans="12:12">
      <c r="L124" s="15"/>
    </row>
    <row r="125" ht="18" customHeight="1" spans="12:12">
      <c r="L125" s="15"/>
    </row>
    <row r="126" ht="18" customHeight="1" spans="12:12">
      <c r="L126" s="15"/>
    </row>
    <row r="127" ht="18" customHeight="1" spans="12:12">
      <c r="L127" s="15"/>
    </row>
    <row r="128" ht="18" customHeight="1" spans="12:12">
      <c r="L128" s="15"/>
    </row>
    <row r="129" ht="18" customHeight="1" spans="12:12">
      <c r="L129" s="15"/>
    </row>
    <row r="130" ht="18" customHeight="1" spans="12:12">
      <c r="L130" s="15"/>
    </row>
    <row r="131" ht="18" customHeight="1" spans="12:12">
      <c r="L131" s="15"/>
    </row>
    <row r="132" ht="18" customHeight="1" spans="12:12">
      <c r="L132" s="15"/>
    </row>
    <row r="133" ht="18" customHeight="1" spans="12:12">
      <c r="L133" s="15"/>
    </row>
    <row r="134" ht="18" customHeight="1" spans="12:12">
      <c r="L134" s="15"/>
    </row>
    <row r="135" ht="18" customHeight="1" spans="12:12">
      <c r="L135" s="15"/>
    </row>
    <row r="136" ht="18" customHeight="1" spans="12:12">
      <c r="L136" s="15"/>
    </row>
    <row r="137" ht="18" customHeight="1" spans="12:12">
      <c r="L137" s="15"/>
    </row>
    <row r="138" ht="18" customHeight="1" spans="12:12">
      <c r="L138" s="15"/>
    </row>
    <row r="139" ht="18" customHeight="1" spans="12:12">
      <c r="L139" s="15"/>
    </row>
    <row r="140" ht="18" customHeight="1" spans="12:12">
      <c r="L140" s="15"/>
    </row>
    <row r="141" ht="18" customHeight="1" spans="12:12">
      <c r="L141" s="15"/>
    </row>
    <row r="142" ht="18" customHeight="1" spans="12:12">
      <c r="L142" s="15"/>
    </row>
    <row r="143" ht="18" customHeight="1" spans="12:12">
      <c r="L143" s="15"/>
    </row>
    <row r="144" ht="18" customHeight="1" spans="12:12">
      <c r="L144" s="15"/>
    </row>
    <row r="145" ht="18" customHeight="1" spans="12:12">
      <c r="L145" s="15"/>
    </row>
    <row r="146" ht="18" customHeight="1" spans="12:12">
      <c r="L146" s="15"/>
    </row>
    <row r="147" ht="18" customHeight="1" spans="12:12">
      <c r="L147" s="15"/>
    </row>
    <row r="148" ht="18" customHeight="1" spans="12:12">
      <c r="L148" s="15"/>
    </row>
    <row r="149" ht="18" customHeight="1" spans="12:12">
      <c r="L149" s="15"/>
    </row>
    <row r="150" ht="18" customHeight="1" spans="12:12">
      <c r="L150" s="15"/>
    </row>
    <row r="151" ht="18" customHeight="1" spans="12:12">
      <c r="L151" s="15"/>
    </row>
    <row r="152" ht="18" customHeight="1" spans="12:12">
      <c r="L152" s="15"/>
    </row>
    <row r="153" ht="18" customHeight="1" spans="12:12">
      <c r="L153" s="15"/>
    </row>
    <row r="154" ht="18" customHeight="1" spans="12:12">
      <c r="L154" s="15"/>
    </row>
    <row r="155" ht="18" customHeight="1" spans="12:12">
      <c r="L155" s="15"/>
    </row>
    <row r="156" ht="18" customHeight="1" spans="12:12">
      <c r="L156" s="15"/>
    </row>
    <row r="157" ht="18" customHeight="1" spans="12:12">
      <c r="L157" s="15"/>
    </row>
    <row r="158" ht="18" customHeight="1" spans="12:12">
      <c r="L158" s="15"/>
    </row>
    <row r="159" ht="18" customHeight="1" spans="12:12">
      <c r="L159" s="15"/>
    </row>
    <row r="160" ht="18" customHeight="1" spans="12:12">
      <c r="L160" s="15"/>
    </row>
    <row r="161" ht="18" customHeight="1" spans="12:12">
      <c r="L161" s="15"/>
    </row>
    <row r="162" ht="18" customHeight="1" spans="12:12">
      <c r="L162" s="15"/>
    </row>
    <row r="163" ht="18" customHeight="1" spans="12:12">
      <c r="L163" s="15"/>
    </row>
    <row r="164" ht="18" customHeight="1" spans="12:12">
      <c r="L164" s="15"/>
    </row>
    <row r="165" ht="18" customHeight="1" spans="12:12">
      <c r="L165" s="15"/>
    </row>
    <row r="166" ht="18" customHeight="1" spans="12:12">
      <c r="L166" s="15"/>
    </row>
    <row r="167" ht="18" customHeight="1" spans="12:12">
      <c r="L167" s="15"/>
    </row>
    <row r="168" ht="18" customHeight="1" spans="12:12">
      <c r="L168" s="15"/>
    </row>
    <row r="169" ht="18" customHeight="1" spans="12:12">
      <c r="L169" s="15"/>
    </row>
    <row r="170" ht="18" customHeight="1" spans="12:12">
      <c r="L170" s="15"/>
    </row>
    <row r="171" ht="18" customHeight="1" spans="12:12">
      <c r="L171" s="15"/>
    </row>
    <row r="172" ht="18" customHeight="1" spans="12:12">
      <c r="L172" s="15"/>
    </row>
    <row r="173" ht="18" customHeight="1" spans="12:12">
      <c r="L173" s="15"/>
    </row>
    <row r="174" ht="18" customHeight="1" spans="12:12">
      <c r="L174" s="15"/>
    </row>
    <row r="175" ht="18" customHeight="1" spans="12:12">
      <c r="L175" s="15"/>
    </row>
    <row r="176" ht="18" customHeight="1" spans="12:12">
      <c r="L176" s="15"/>
    </row>
    <row r="177" ht="18" customHeight="1" spans="12:12">
      <c r="L177" s="15"/>
    </row>
    <row r="178" ht="18" customHeight="1" spans="12:12">
      <c r="L178" s="15"/>
    </row>
    <row r="179" ht="18" customHeight="1" spans="12:12">
      <c r="L179" s="15"/>
    </row>
    <row r="180" ht="18" customHeight="1" spans="12:12">
      <c r="L180" s="15"/>
    </row>
    <row r="181" ht="18" customHeight="1" spans="12:12">
      <c r="L181" s="15"/>
    </row>
    <row r="182" ht="18" customHeight="1" spans="12:12">
      <c r="L182" s="15"/>
    </row>
    <row r="183" ht="18" customHeight="1" spans="12:12">
      <c r="L183" s="15"/>
    </row>
    <row r="184" ht="18" customHeight="1" spans="12:12">
      <c r="L184" s="15"/>
    </row>
    <row r="185" ht="18" customHeight="1" spans="12:12">
      <c r="L185" s="15"/>
    </row>
    <row r="186" ht="18" customHeight="1" spans="12:12">
      <c r="L186" s="15"/>
    </row>
    <row r="187" ht="18" customHeight="1" spans="12:12">
      <c r="L187" s="15"/>
    </row>
    <row r="188" ht="18" customHeight="1" spans="12:12">
      <c r="L188" s="15"/>
    </row>
    <row r="189" ht="18" customHeight="1" spans="12:12">
      <c r="L189" s="15"/>
    </row>
    <row r="190" ht="18" customHeight="1" spans="12:12">
      <c r="L190" s="15"/>
    </row>
    <row r="191" ht="18" customHeight="1" spans="12:12">
      <c r="L191" s="15"/>
    </row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</sheetData>
  <sortState ref="O22:O28">
    <sortCondition ref="O22" descending="1"/>
  </sortState>
  <mergeCells count="5">
    <mergeCell ref="A1:E1"/>
    <mergeCell ref="A6:E6"/>
    <mergeCell ref="A10:E10"/>
    <mergeCell ref="A17:E17"/>
    <mergeCell ref="A27:E2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阡陌</cp:lastModifiedBy>
  <dcterms:created xsi:type="dcterms:W3CDTF">2024-12-12T08:41:00Z</dcterms:created>
  <cp:lastPrinted>2024-12-12T08:57:00Z</cp:lastPrinted>
  <dcterms:modified xsi:type="dcterms:W3CDTF">2025-12-05T06:44:58Z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185E86E236D4490F824402DE57573006_12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